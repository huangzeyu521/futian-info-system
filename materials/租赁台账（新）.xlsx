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45" windowHeight="12435"/>
  </bookViews>
  <sheets>
    <sheet name="新一代产业园产业租赁台账" sheetId="1" r:id="rId1"/>
    <sheet name="新一代产业园产业空置明细表" sheetId="3" r:id="rId2"/>
    <sheet name="新一代产业园建筑面积明细" sheetId="4" r:id="rId3"/>
    <sheet name="泰然立城产业租赁台账" sheetId="5" r:id="rId4"/>
    <sheet name="泰然立城产业空置明细表 " sheetId="6" r:id="rId5"/>
    <sheet name="泰然立城项目面积明细" sheetId="7" r:id="rId6"/>
  </sheets>
  <definedNames>
    <definedName name="_xlnm._FilterDatabase" localSheetId="0" hidden="1">新一代产业园产业租赁台账!$A$1:$W$172</definedName>
    <definedName name="_xlnm._FilterDatabase" localSheetId="1" hidden="1">新一代产业园产业空置明细表!$A$2:$H$18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<sst xmlns="http://schemas.openxmlformats.org/spreadsheetml/2006/main" count="1365" uniqueCount="535">
  <si>
    <t>新一代产业园产业入驻企业明细表</t>
  </si>
  <si>
    <t>序号</t>
  </si>
  <si>
    <t>栋数</t>
  </si>
  <si>
    <t>入驻楼层</t>
  </si>
  <si>
    <t>入驻企业名称</t>
  </si>
  <si>
    <t>承租面积
（㎡）</t>
  </si>
  <si>
    <t>竣工/分户测绘面积</t>
  </si>
  <si>
    <t>市场评估价
（㎡）</t>
  </si>
  <si>
    <t>租金折扣</t>
  </si>
  <si>
    <t>租赁单价
（元/㎡）</t>
  </si>
  <si>
    <t>第一年优惠月租金
（元/月）</t>
  </si>
  <si>
    <t>第二年优惠月租金
（元/月）</t>
  </si>
  <si>
    <t>第三年优惠月租金
（元/月）</t>
  </si>
  <si>
    <t>第四年优惠月租金
（元/月）</t>
  </si>
  <si>
    <t>第五年优惠月租金
（元/月）</t>
  </si>
  <si>
    <t>起租日期</t>
  </si>
  <si>
    <t>终止日期</t>
  </si>
  <si>
    <t>租期（年）</t>
  </si>
  <si>
    <t>免租期
（月）</t>
  </si>
  <si>
    <t>第二年递增情况</t>
  </si>
  <si>
    <t>引进部门</t>
  </si>
  <si>
    <t>区产业发展联席会</t>
  </si>
  <si>
    <t>权属</t>
  </si>
  <si>
    <t>备注</t>
  </si>
  <si>
    <t>1栋
（1栋A座）</t>
  </si>
  <si>
    <t>天使荟</t>
  </si>
  <si>
    <t>119/108/103</t>
  </si>
  <si>
    <t>35.7/32.4/30.9</t>
  </si>
  <si>
    <t>分户租赁（详见天使荟细分表）</t>
  </si>
  <si>
    <t>天使母</t>
  </si>
  <si>
    <t>2020年第六次</t>
  </si>
  <si>
    <t>福田产投</t>
  </si>
  <si>
    <t>深圳华秋电子有限公司</t>
  </si>
  <si>
    <t>/</t>
  </si>
  <si>
    <t>2025.09.01</t>
  </si>
  <si>
    <t>2028.08.31</t>
  </si>
  <si>
    <t>续租无</t>
  </si>
  <si>
    <t>无</t>
  </si>
  <si>
    <t>科工局</t>
  </si>
  <si>
    <t>2020年第六次/</t>
  </si>
  <si>
    <t>深圳市千循科技有限公司</t>
  </si>
  <si>
    <t>2025.04.01</t>
  </si>
  <si>
    <t>2028.03.31</t>
  </si>
  <si>
    <t>区商务局</t>
  </si>
  <si>
    <t>关于商请支持瑞诚（中国）传媒集团有限公司项目落地相关诉求的函、2025年第二十六次领导班子会议纪要</t>
  </si>
  <si>
    <t>云基智慧工程股份有限公司</t>
  </si>
  <si>
    <t>2025.11.01</t>
  </si>
  <si>
    <t>2026.10.31</t>
  </si>
  <si>
    <t>2020年第七次/福科工党组纪2026年第2次之一</t>
  </si>
  <si>
    <t>深圳市立创电子商务有限公司</t>
  </si>
  <si>
    <t>2029.07.31</t>
  </si>
  <si>
    <t>3年11个月</t>
  </si>
  <si>
    <t>科创局（原设）/商务局</t>
  </si>
  <si>
    <t>续租转商务局</t>
  </si>
  <si>
    <t>深圳市艾酷通信软件有限公司</t>
  </si>
  <si>
    <t>2020.09.01</t>
  </si>
  <si>
    <t>2025.12.31</t>
  </si>
  <si>
    <t>5+4个月</t>
  </si>
  <si>
    <t>科创局（原设）</t>
  </si>
  <si>
    <t>区物业中心</t>
  </si>
  <si>
    <t>深圳市七彩虹禹贡科技发展有限公司</t>
  </si>
  <si>
    <t>2025.12.01</t>
  </si>
  <si>
    <t>2030.11.30</t>
  </si>
  <si>
    <t>2020年第六次/区政府专题会议纪要（108）号（续租）</t>
  </si>
  <si>
    <t>深圳市金百泽电子科技股份有限公司</t>
  </si>
  <si>
    <t>2020.12.01</t>
  </si>
  <si>
    <t>2025.11.30</t>
  </si>
  <si>
    <t>2020年第七次</t>
  </si>
  <si>
    <t>安芯微感半导体（深圳）有限公司</t>
  </si>
  <si>
    <t>2024.10.1</t>
  </si>
  <si>
    <t>2027.9.30</t>
  </si>
  <si>
    <t>区产业发展专项资金联审委员会科创分项资金审批专责小组会2024年第七次会议会议纪要</t>
  </si>
  <si>
    <t>深圳市德明利技术股份有限公司</t>
  </si>
  <si>
    <t>2025.11.15</t>
  </si>
  <si>
    <t>2030.8.31</t>
  </si>
  <si>
    <t>区政府专题会议纪要（108）号</t>
  </si>
  <si>
    <t>荣耀终端股份有限公司</t>
  </si>
  <si>
    <t>2024.1.1</t>
  </si>
  <si>
    <t>2026.12.31</t>
  </si>
  <si>
    <t>区产业发展联席会议决定事项通知（2020年第二十次）</t>
  </si>
  <si>
    <t>区产业发展联席会议决定事项通知LX20230502号2023年第五次</t>
  </si>
  <si>
    <t>2021.5.10</t>
  </si>
  <si>
    <t>2026.5.9</t>
  </si>
  <si>
    <t>2021年第二次/区政府专题会议纪要（108）号（续租）</t>
  </si>
  <si>
    <t>2030.08.31</t>
  </si>
  <si>
    <t>工信局</t>
  </si>
  <si>
    <t>2021年第十一次、区产业发展联席会议决定事项通知LX20230502号2023年第五次</t>
  </si>
  <si>
    <t>深圳市加推科技有限公司</t>
  </si>
  <si>
    <t>2020年第六次/区科工局2025年第23次党组会纪要之一（续租）</t>
  </si>
  <si>
    <t>区产业发展联席会议决定事项通知（2020年第二十次）、区产业发展联席会议决定事项通知LX20230502号2023年第五次</t>
  </si>
  <si>
    <t>2栋
（1栋B座）</t>
  </si>
  <si>
    <t>空置</t>
  </si>
  <si>
    <t>深圳市银雁科技有限公司</t>
  </si>
  <si>
    <t>2025.4.1</t>
  </si>
  <si>
    <t>2030.3.31</t>
  </si>
  <si>
    <t>关于协助深圳市银雁科技有限公司提前入驻新一代产业园2栋7-8层的函/福科工党组纪〔2025〕23 号之一</t>
  </si>
  <si>
    <t>重新调整租赁标准</t>
  </si>
  <si>
    <t>深圳市有为信息技术发展有限公司</t>
  </si>
  <si>
    <t>2025.5.1</t>
  </si>
  <si>
    <t>2028.4.30</t>
  </si>
  <si>
    <t>关于商请支持深圳市有为信息技术发展有限公司相关诉求的函/福科工党组纪〔2025〕25号（之一）</t>
  </si>
  <si>
    <t>华润数科控股有限公司</t>
  </si>
  <si>
    <t>过渡期一年</t>
  </si>
  <si>
    <t>2025.08.01</t>
  </si>
  <si>
    <t>会议纪要按50%，但纪要没出来前领导提出按70%收取，一致延续收取。</t>
  </si>
  <si>
    <t>深圳宏芯宇电子股份有限公司</t>
  </si>
  <si>
    <t>2021.4.1</t>
  </si>
  <si>
    <t>2026.3.31</t>
  </si>
  <si>
    <t>2020年第十一次</t>
  </si>
  <si>
    <t>2025.7.1</t>
  </si>
  <si>
    <t>2030.6.30</t>
  </si>
  <si>
    <t>关于商请支持重点企业提前入驻新一代产业园的函/区政府专题会议纪要（108）号（入驻标准）</t>
  </si>
  <si>
    <t>前期提前入驻后重新调整入驻标准</t>
  </si>
  <si>
    <t>深圳依时货拉拉科技有限公司</t>
  </si>
  <si>
    <t>2020年第七次/福科工党组纪〔2025〕25号（之一）（续租）</t>
  </si>
  <si>
    <t>2024.7.1</t>
  </si>
  <si>
    <t>2027.6.30</t>
  </si>
  <si>
    <t>2024年第三次</t>
  </si>
  <si>
    <t>区产业发展联席会议决定事项通知（2020年第二十次）、福田区2023年第五次产业联席会议</t>
  </si>
  <si>
    <t>广东深圳中丰盛易科技有限公司</t>
  </si>
  <si>
    <t>2021.01.01
2024.01.01</t>
  </si>
  <si>
    <t>2023.12.31
——</t>
  </si>
  <si>
    <t>—</t>
  </si>
  <si>
    <t>暂时过渡，等续租</t>
  </si>
  <si>
    <t>2025.05.01</t>
  </si>
  <si>
    <t>1年8个月</t>
  </si>
  <si>
    <t>深圳市福田区政府专题研究会科工分项会议记录福田区科技和工业信息化局（2025年第一次）</t>
  </si>
  <si>
    <t>物美南方科技有限责任公司</t>
  </si>
  <si>
    <t>——</t>
  </si>
  <si>
    <t>3栋</t>
  </si>
  <si>
    <t>嘉立创</t>
  </si>
  <si>
    <t>翔桥数链科技(深圳)有限公司</t>
  </si>
  <si>
    <t>2028.12.30</t>
  </si>
  <si>
    <t>深圳市赛纳电子科技有限公司</t>
  </si>
  <si>
    <t>2028.11.30</t>
  </si>
  <si>
    <t>2020年第七次/福科工党组纪〔2025〕23 号之一（续租）</t>
  </si>
  <si>
    <t>深圳新声半导体有限公司</t>
  </si>
  <si>
    <t>2022.6.10</t>
  </si>
  <si>
    <t>2027.6.9</t>
  </si>
  <si>
    <t>2022年第三次</t>
  </si>
  <si>
    <t>深圳市海雷储能有限公司</t>
  </si>
  <si>
    <t>2023.1.1</t>
  </si>
  <si>
    <t>2022年第四次专责会</t>
  </si>
  <si>
    <t>深圳硬之城信息技术有限公司</t>
  </si>
  <si>
    <t>2023.6.1</t>
  </si>
  <si>
    <t>2026.5.31</t>
  </si>
  <si>
    <t>深圳市福田区产业发展专项资金联审委员会工信局分项资金审批专责小组会议2022年第6次</t>
  </si>
  <si>
    <t>深圳市众鸿科技股份有限公司</t>
  </si>
  <si>
    <t>2025.7.15</t>
  </si>
  <si>
    <t>2028.7.14</t>
  </si>
  <si>
    <t>关于协助深圳市众鸿科技股份有限公司提前入驻新一代产业园3栋10层的函</t>
  </si>
  <si>
    <t>1101、1102-1</t>
  </si>
  <si>
    <t>深圳雷旭信息科技有限公司</t>
  </si>
  <si>
    <t>2020年第七次进驻、关于函请协助富满微电子、雷旭信息、微纳研究院退租部分租赁空间的函调整面积</t>
  </si>
  <si>
    <t>深圳市南方民营科技研究院</t>
  </si>
  <si>
    <t>2024.7.15</t>
  </si>
  <si>
    <t>2027.7.14</t>
  </si>
  <si>
    <t>深圳市福田区产业发展专项资金联审委员会科创分项资金审批专责小组会议第五次会议纪要</t>
  </si>
  <si>
    <t>深圳市北科瑞声科技股份有限公司</t>
  </si>
  <si>
    <t>2021.11.12</t>
  </si>
  <si>
    <t>2026.11.11</t>
  </si>
  <si>
    <t>深圳市港祥辉电子有限公司</t>
  </si>
  <si>
    <t>2025.08.31</t>
  </si>
  <si>
    <t>25.8.1退租部分</t>
  </si>
  <si>
    <t>华澜微电子(北京)有限责任公司、深圳市云海智算科技有限公司</t>
  </si>
  <si>
    <t>深圳赋能光达科技有限公司预留</t>
  </si>
  <si>
    <t>深圳太极数智技术有限公司</t>
  </si>
  <si>
    <t>深圳市九天睿芯科技有限公司</t>
  </si>
  <si>
    <t>2023.5.1</t>
  </si>
  <si>
    <t>2026.4.30</t>
  </si>
  <si>
    <t>经深圳市福田区产业发展专项资金联审委员会科技创新分项资金审批专责小组第二次会议</t>
  </si>
  <si>
    <t>深圳市人工智能行业协会</t>
  </si>
  <si>
    <t>2025.5.6</t>
  </si>
  <si>
    <t>2028.5.5</t>
  </si>
  <si>
    <t>关于协助深圳市人工智能行业协会提前入驻新一代产业园的函及区领导批示</t>
  </si>
  <si>
    <t>1504-1</t>
  </si>
  <si>
    <t>汉熵通信有限公司</t>
  </si>
  <si>
    <t>2025.8.1</t>
  </si>
  <si>
    <t>2028.7.31</t>
  </si>
  <si>
    <t>关于做好高成长企业空间保障的函/2025年第二十九次领导班子会议纪要</t>
  </si>
  <si>
    <t>1504-2</t>
  </si>
  <si>
    <t>万勋科技(深圳)有限公司</t>
  </si>
  <si>
    <t>2025.8.15</t>
  </si>
  <si>
    <t>2028.8.14</t>
  </si>
  <si>
    <t>商务局</t>
  </si>
  <si>
    <t>关于商请支持华科创智技术有限公司、汉熵通信有限公司项目落地相关诉求的函/2025年第二十九次领导班子会议纪要</t>
  </si>
  <si>
    <t>云镝智慧科技有限公司</t>
  </si>
  <si>
    <t>科创局</t>
  </si>
  <si>
    <t>协创数据技术股份有限公司</t>
  </si>
  <si>
    <t>2025.12.20</t>
  </si>
  <si>
    <t>2030.12.19</t>
  </si>
  <si>
    <t>福科工党组纪2025年第33次之一</t>
  </si>
  <si>
    <t>深圳星链号数据技术有限公司</t>
  </si>
  <si>
    <t>2025.10.15</t>
  </si>
  <si>
    <t>2028.10.14</t>
  </si>
  <si>
    <t>区科工局2025年第25次党组会议纪要</t>
  </si>
  <si>
    <t>1801-03</t>
  </si>
  <si>
    <t>深圳市长龙铁路电子工程有限公司</t>
  </si>
  <si>
    <t>133.275.90</t>
  </si>
  <si>
    <t>2021年第一次</t>
  </si>
  <si>
    <t>市场低价为：118</t>
  </si>
  <si>
    <t>计通拟扩租</t>
  </si>
  <si>
    <t>深圳市青绿供应链有限公司/深圳市青绿汇能科技有限公司</t>
  </si>
  <si>
    <t>2025.3.8</t>
  </si>
  <si>
    <t>2026.3.7</t>
  </si>
  <si>
    <t>自主招商</t>
  </si>
  <si>
    <t>公开招租</t>
  </si>
  <si>
    <t>市场低价为：119，高于市场价出租</t>
  </si>
  <si>
    <t>1902-2</t>
  </si>
  <si>
    <t>深圳市众鑫信创科技有限公司</t>
  </si>
  <si>
    <t>2025.3.1</t>
  </si>
  <si>
    <t>2026.2.28</t>
  </si>
  <si>
    <t>1903-04</t>
  </si>
  <si>
    <t>深圳市计通智能技术有限公司</t>
  </si>
  <si>
    <t>2026.4.1</t>
  </si>
  <si>
    <t>2031.3.31</t>
  </si>
  <si>
    <t>2021年第二次/福科工党组纪2025年第35次之一（续租）</t>
  </si>
  <si>
    <t>锐石创芯（深圳）半导体有限公司</t>
  </si>
  <si>
    <t>100%/70%</t>
  </si>
  <si>
    <t>120/84</t>
  </si>
  <si>
    <t>424010.58/
296807.41</t>
  </si>
  <si>
    <t>2025.02.01</t>
  </si>
  <si>
    <t>2028.01.31</t>
  </si>
  <si>
    <t>科工局关于研究产业用房事项专题会议纪要（123）</t>
  </si>
  <si>
    <t>25.2.1-25.7.31按100%，8.1起按70%</t>
  </si>
  <si>
    <t>121/84.7</t>
  </si>
  <si>
    <t>深圳市新威尔电子有限公司</t>
  </si>
  <si>
    <t>2021.5.1</t>
  </si>
  <si>
    <t>2021年第二次/关于深圳市新威尔电子有限公司退租新一代产业园3栋23层的函</t>
  </si>
  <si>
    <t>4栋
（2栋A座）</t>
  </si>
  <si>
    <t>交流中心</t>
  </si>
  <si>
    <t>深圳市微纳集成电路与系统应用研究院</t>
  </si>
  <si>
    <t>2023.10.01</t>
  </si>
  <si>
    <t>2026.9.30</t>
  </si>
  <si>
    <t>2019年第八次之一入驻、2024年区产业发展专项资金科技创新分项专责小组第一次会议续租</t>
  </si>
  <si>
    <t>晶瑞（深圳）科技创新中心有限公司</t>
  </si>
  <si>
    <t>续租一次</t>
  </si>
  <si>
    <t>2021年第五次、区产业发展联席会议决定事项通知LX20230502号2023年第五次</t>
  </si>
  <si>
    <t>深圳无线电检测技术研究院</t>
  </si>
  <si>
    <t>2023.11.09</t>
  </si>
  <si>
    <t>2026.11.08</t>
  </si>
  <si>
    <t>2019年第八次入驻、2024年区产业发展专项资金科技创新分项专责小组第一次会议续租</t>
  </si>
  <si>
    <t>深圳市汇芯通信技术有限公司</t>
  </si>
  <si>
    <t>1.297.623.78</t>
  </si>
  <si>
    <t>2023.11.30</t>
  </si>
  <si>
    <t>2026.11.29</t>
  </si>
  <si>
    <t>2019年第八次之一/深圳市福田区产业发展联席会议决定事项LX20240504（2024年第五次会议会议纪要）续租调整为5折</t>
  </si>
  <si>
    <t>星火工场（深圳）创业投资有限公司</t>
  </si>
  <si>
    <t>2019年第九次</t>
  </si>
  <si>
    <t>深圳手回科技集团有限公司</t>
  </si>
  <si>
    <t>2025.2.1</t>
  </si>
  <si>
    <t>2028.1.31</t>
  </si>
  <si>
    <t>2024年区政府专题会议会议记录</t>
  </si>
  <si>
    <t>2024.02.01</t>
  </si>
  <si>
    <t>2023年2月16日科创主持的会议</t>
  </si>
  <si>
    <t>暂时过渡使用，后续有正式会议纪要增加该层租赁面积</t>
  </si>
  <si>
    <t>2024.2.1</t>
  </si>
  <si>
    <t>2025.8.31</t>
  </si>
  <si>
    <t>深圳市福田区产业发展专项资金联审委员会工信局分项资金审批专责小组2023年第八次会议纪要</t>
  </si>
  <si>
    <t>深圳亚德半导体科技有限公司</t>
  </si>
  <si>
    <t>关于协助深圳亚德半导体科技有限公司提前入驻新一代产业园4栋22楼的函</t>
  </si>
  <si>
    <t>深圳市智想无界科技有限公司</t>
  </si>
  <si>
    <t>2024.2.26</t>
  </si>
  <si>
    <t>2027.2.25</t>
  </si>
  <si>
    <t>2023年区产业发展专项资金科技创新分项专责小组第七次会议《会议纪要》</t>
  </si>
  <si>
    <t>5栋
（2栋B座）</t>
  </si>
  <si>
    <t>401、04</t>
  </si>
  <si>
    <t>保障中心/档案室/空置房</t>
  </si>
  <si>
    <t>深圳市福田鸿博人力资源有限公司</t>
  </si>
  <si>
    <t>免租</t>
  </si>
  <si>
    <t>2023.2.1</t>
  </si>
  <si>
    <t>2023年第四次班子会议</t>
  </si>
  <si>
    <t>深圳市福美空间创新发展有限公司</t>
  </si>
  <si>
    <t>深圳陆兮科技有限公司</t>
  </si>
  <si>
    <t>新纶新材料股份有限公司</t>
  </si>
  <si>
    <t>2022.7.1</t>
  </si>
  <si>
    <t>引导基金</t>
  </si>
  <si>
    <t>2022年第一次</t>
  </si>
  <si>
    <t>深圳市金融科技协会</t>
  </si>
  <si>
    <t>2020.10.01</t>
  </si>
  <si>
    <t>2025.09.30</t>
  </si>
  <si>
    <t>金融局</t>
  </si>
  <si>
    <t>2020年第五次</t>
  </si>
  <si>
    <t>深圳国家金融科技测评中心有限公司</t>
  </si>
  <si>
    <t>2021.02.09</t>
  </si>
  <si>
    <t>2026.2.8</t>
  </si>
  <si>
    <t>深圳国家金融科技测评中心有限公司（拟不续）</t>
  </si>
  <si>
    <t>集友科技创新（深圳）有限公司</t>
  </si>
  <si>
    <t>2026.02.01</t>
  </si>
  <si>
    <t>2029.1.31</t>
  </si>
  <si>
    <t>金融中心</t>
  </si>
  <si>
    <t>2020年第十二次/发改局2025年第26次党组会议纪要之二（续租）</t>
  </si>
  <si>
    <t>25.11.1起按25年评估价调整租金</t>
  </si>
  <si>
    <t>智付电子支付有限公司</t>
  </si>
  <si>
    <t>2026.2.15</t>
  </si>
  <si>
    <t>2031.2.14</t>
  </si>
  <si>
    <t>福田区发展和改革局2026年第1次党组会</t>
  </si>
  <si>
    <t>深圳萨摩耶数字科技有限公司</t>
  </si>
  <si>
    <t>2026.1.1</t>
  </si>
  <si>
    <t>2028.12.31</t>
  </si>
  <si>
    <t>2022年第三次专责会/发改局2025年第26次党组会议纪要之二（续租）</t>
  </si>
  <si>
    <t>2020年第九次/发改局2025年第26次党组会议纪要之二（续租）</t>
  </si>
  <si>
    <t>1501、02、06</t>
  </si>
  <si>
    <t>1503-05</t>
  </si>
  <si>
    <t>深圳市金信科技有限责任公司</t>
  </si>
  <si>
    <t>2026.01.01</t>
  </si>
  <si>
    <t>广东省未来供应链金融创新合规实验室有限公司</t>
  </si>
  <si>
    <t>2022.1.19</t>
  </si>
  <si>
    <t>2027.1.18</t>
  </si>
  <si>
    <t>2021年第十二次</t>
  </si>
  <si>
    <t>山证科技（深圳）有限公司</t>
  </si>
  <si>
    <t>2020年第六次/区发展和改革局2025年第21次党组会（续租）</t>
  </si>
  <si>
    <t>深圳市财富趋势科技股份有限公司</t>
  </si>
  <si>
    <t>2026.08.31</t>
  </si>
  <si>
    <t>2020年第六次、关于商请协助深圳市财富趋势科技股份有限公司办理退租部分办公场地的函/区发展和改革局2025年第21次党组会（续租）</t>
  </si>
  <si>
    <t>招银云创信息技术有限公司</t>
  </si>
  <si>
    <t>中电惠融科技（深圳）有限公司</t>
  </si>
  <si>
    <t>2023.8.1</t>
  </si>
  <si>
    <t>区产业发展专项资金联审委员会金融分项资金审批专责小组2023年第三次会议</t>
  </si>
  <si>
    <t>德易（中国）互联网科技有限公司</t>
  </si>
  <si>
    <t>2030.10.31</t>
  </si>
  <si>
    <t>4年9个月</t>
  </si>
  <si>
    <t>区发展和改革局2025年第26次党组会议纪要之二</t>
  </si>
  <si>
    <t>2025.11.1</t>
  </si>
  <si>
    <t>区发展和改革局2025年第21次党组会</t>
  </si>
  <si>
    <t>深圳华锐分布式技术股份有限公司</t>
  </si>
  <si>
    <t>6栋
（2栋C座）</t>
  </si>
  <si>
    <t>2021.11.1</t>
  </si>
  <si>
    <t>2021年第十一次</t>
  </si>
  <si>
    <t>2021.04.07</t>
  </si>
  <si>
    <t>2026.04.06</t>
  </si>
  <si>
    <t>2021年第二次</t>
  </si>
  <si>
    <t>深圳市博科供应链管理有限公司</t>
  </si>
  <si>
    <t>2021.3.15</t>
  </si>
  <si>
    <t>2026.3.14</t>
  </si>
  <si>
    <t>深圳市质量强市促进会</t>
  </si>
  <si>
    <t>3%（25.1.1起不递增）</t>
  </si>
  <si>
    <t>入驻确认表、党组（扩大）会议（2025年第13次）会议纪要</t>
  </si>
  <si>
    <t>1001-03</t>
  </si>
  <si>
    <t>孔明智算(深圳)数字科技发展有限公司</t>
  </si>
  <si>
    <t>关于协助孔明智算(深圳)数字科技发展有限公司提前入驻新一代产业园6栋10层的函</t>
  </si>
  <si>
    <t>深圳市福田区产业发展专项资金联审委员会工信局分项资金审批专责小组会议2023年第7次《会议纪要》</t>
  </si>
  <si>
    <t>深圳市福田区科技和工业信息化局
（反飞地项目展馆）</t>
  </si>
  <si>
    <t>2025.11.18</t>
  </si>
  <si>
    <t>2030.11.17</t>
  </si>
  <si>
    <t>福田区政府物业授权使用证</t>
  </si>
  <si>
    <t>望家欢产品集团有限公司</t>
  </si>
  <si>
    <t>2020年第七次之一/深圳市福田区商务局党组会议纪要（39）（续租）</t>
  </si>
  <si>
    <t>深圳市富森供应链管理有限公司</t>
  </si>
  <si>
    <t>2020.11.01</t>
  </si>
  <si>
    <t>2025.10.31</t>
  </si>
  <si>
    <t>2020年第七次之一</t>
  </si>
  <si>
    <t>福田产投/城管所</t>
  </si>
  <si>
    <t>2020.10.15</t>
  </si>
  <si>
    <t>2025.10.14</t>
  </si>
  <si>
    <t>物业中心</t>
  </si>
  <si>
    <t>合计</t>
  </si>
  <si>
    <t>备注：竣工总面积需减去6栋4层5层部分商业面积（3330.75平）、加上天使荟产业面积（4373.45平）才为房产证的总面积</t>
  </si>
  <si>
    <t>新一代产业园产业用房空置明细表</t>
  </si>
  <si>
    <t>物业地址</t>
  </si>
  <si>
    <t>面积</t>
  </si>
  <si>
    <t>评估价</t>
  </si>
  <si>
    <t>状态</t>
  </si>
  <si>
    <t>当前进展</t>
  </si>
  <si>
    <t>2栋5层</t>
  </si>
  <si>
    <t>待招商</t>
  </si>
  <si>
    <t>深圳依时货拉拉科技有限公司预留（26.2.10）</t>
  </si>
  <si>
    <t>3栋13层</t>
  </si>
  <si>
    <t>已征求意见</t>
  </si>
  <si>
    <t>华澜微电子(北京)有限责任公司、深圳市云海智算科技有限公司征求意见</t>
  </si>
  <si>
    <t>3栋14层</t>
  </si>
  <si>
    <t>深圳赋能光达科技有限公司科工预留（26.1.21）</t>
  </si>
  <si>
    <t>3栋1804</t>
  </si>
  <si>
    <t>已有意向</t>
  </si>
  <si>
    <t>深圳米唐科技有限公司征求意见</t>
  </si>
  <si>
    <t>5栋10层</t>
  </si>
  <si>
    <t>待退租</t>
  </si>
  <si>
    <t>金融测评到期退一层</t>
  </si>
  <si>
    <t>合计面积</t>
  </si>
  <si>
    <t>空置率</t>
  </si>
  <si>
    <t>绿色为整层物业</t>
  </si>
  <si>
    <t>以下未过相关会议，但有口头、书面、直接占用预留的，不计入空置面积</t>
  </si>
  <si>
    <t>3栋3层</t>
  </si>
  <si>
    <t>待过会</t>
  </si>
  <si>
    <t>已有看中</t>
  </si>
  <si>
    <t>拟引进给嘉立创</t>
  </si>
  <si>
    <t>3栋4层</t>
  </si>
  <si>
    <t>3栋5层</t>
  </si>
  <si>
    <t>3栋23层</t>
  </si>
  <si>
    <t>深圳市银雁科技有限公司扩租</t>
  </si>
  <si>
    <t>4栋7层</t>
  </si>
  <si>
    <t>5栋1802</t>
  </si>
  <si>
    <t>使用中</t>
  </si>
  <si>
    <t>直接占用</t>
  </si>
  <si>
    <t>多米链占用</t>
  </si>
  <si>
    <t>新一代产业园建筑面积明细</t>
  </si>
  <si>
    <t>总建筑面积</t>
  </si>
  <si>
    <t>计容积率建筑面积</t>
  </si>
  <si>
    <t>296782.05（含共配、架空层、花园等不可出租面积）</t>
  </si>
  <si>
    <t>不计容积率建筑面积</t>
  </si>
  <si>
    <t>产业面积</t>
  </si>
  <si>
    <r>
      <rPr>
        <sz val="12"/>
        <color rgb="FF000000"/>
        <rFont val="宋体"/>
        <charset val="134"/>
      </rPr>
      <t>256307.74</t>
    </r>
    <r>
      <rPr>
        <sz val="12"/>
        <color rgb="FF000000"/>
        <rFont val="宋体"/>
        <charset val="134"/>
      </rPr>
      <t xml:space="preserve">
</t>
    </r>
    <r>
      <rPr>
        <sz val="12"/>
        <color rgb="FF000000"/>
        <rFont val="宋体"/>
        <charset val="134"/>
      </rPr>
      <t>（房产证面积256101.83）</t>
    </r>
  </si>
  <si>
    <t>创新型产业用房</t>
  </si>
  <si>
    <t>产业研发用房</t>
  </si>
  <si>
    <t>（房产证面积，可租赁）</t>
  </si>
  <si>
    <t>商业面积</t>
  </si>
  <si>
    <r>
      <rPr>
        <sz val="12"/>
        <color rgb="FF000000"/>
        <rFont val="宋体"/>
        <charset val="134"/>
      </rPr>
      <t>移交物业中心总面积：130733.83平方米（产业+商业+公配等）</t>
    </r>
    <r>
      <rPr>
        <sz val="12"/>
        <color rgb="FF000000"/>
        <rFont val="宋体"/>
        <charset val="134"/>
      </rPr>
      <t xml:space="preserve">
</t>
    </r>
    <r>
      <rPr>
        <sz val="12"/>
        <color rgb="FF000000"/>
        <rFont val="宋体"/>
        <charset val="134"/>
      </rPr>
      <t>（邮政所：151.13平方米，垃圾站：340.35平方米）</t>
    </r>
  </si>
  <si>
    <t>福田产投：商业+产业=154655.89平方米                 →→→→→→→→注意面积</t>
  </si>
  <si>
    <t>154449.98（房产证可出租产投总面积）</t>
  </si>
  <si>
    <t>泰然立城产业入驻企业明细表</t>
  </si>
  <si>
    <t>购置批次</t>
  </si>
  <si>
    <t>合同单价
（元/㎡）</t>
  </si>
  <si>
    <t>优惠单价
（元/㎡）</t>
  </si>
  <si>
    <t>第一年合同月租金
（元/月）</t>
  </si>
  <si>
    <t>第二年合同月租金
（元/月）</t>
  </si>
  <si>
    <t>第三年合同月租金
（元/月）</t>
  </si>
  <si>
    <t>第四年合同月租金
（元/月）</t>
  </si>
  <si>
    <t>第五年合同月租金
（元/月）</t>
  </si>
  <si>
    <t>A栋</t>
  </si>
  <si>
    <t>三批一</t>
  </si>
  <si>
    <t>5</t>
  </si>
  <si>
    <t>6</t>
  </si>
  <si>
    <t>7</t>
  </si>
  <si>
    <t>深圳拉飞姆时装有限公司</t>
  </si>
  <si>
    <t>文体局</t>
  </si>
  <si>
    <t>区政府专题会议纪要（12）福田区创新型产业用房区政府专题研究会会议纪要</t>
  </si>
  <si>
    <t>8</t>
  </si>
  <si>
    <t>406、7、9、10、11、12</t>
  </si>
  <si>
    <t>深圳市智慧城市科技发展集团有限公司</t>
  </si>
  <si>
    <r>
      <rPr>
        <sz val="12"/>
        <color rgb="FF000000"/>
        <rFont val="宋体"/>
        <charset val="134"/>
      </rPr>
      <t>1141.79</t>
    </r>
    <r>
      <rPr>
        <sz val="8"/>
        <color rgb="FF000000"/>
        <rFont val="宋体"/>
        <charset val="134"/>
      </rPr>
      <t>（商业性质面积，和产业合同合并续租）</t>
    </r>
  </si>
  <si>
    <t>2025.12.4</t>
  </si>
  <si>
    <t>2030.12.3</t>
  </si>
  <si>
    <t>2022年第六次区产业发展联席会议决定事项通知LX20220604号/福科工党组纪〔2025〕28号（续租）</t>
  </si>
  <si>
    <t>续租1次、5-8层合同到期退租</t>
  </si>
  <si>
    <t>401-403</t>
  </si>
  <si>
    <t>三批一
（24.12.24）</t>
  </si>
  <si>
    <t>10</t>
  </si>
  <si>
    <t>11</t>
  </si>
  <si>
    <t>12</t>
  </si>
  <si>
    <t>13</t>
  </si>
  <si>
    <t>14</t>
  </si>
  <si>
    <t>15</t>
  </si>
  <si>
    <t>16</t>
  </si>
  <si>
    <t>深圳歌力思服饰股份有限公司</t>
  </si>
  <si>
    <t>一批一
（2023.11.1）</t>
  </si>
  <si>
    <t>区产业发展联席会议决定事项通知（2024第一次）</t>
  </si>
  <si>
    <t>正常执行合同</t>
  </si>
  <si>
    <t>17</t>
  </si>
  <si>
    <t>一批一</t>
  </si>
  <si>
    <t>18</t>
  </si>
  <si>
    <t>19</t>
  </si>
  <si>
    <t>21</t>
  </si>
  <si>
    <t>深圳市珂莱蒂尔服饰有限公司</t>
  </si>
  <si>
    <t>2024.6.20</t>
  </si>
  <si>
    <t>2027.6.19</t>
  </si>
  <si>
    <t>福田区区产业发展联席会议2024年第一次会议</t>
  </si>
  <si>
    <t>22</t>
  </si>
  <si>
    <t>23</t>
  </si>
  <si>
    <t>24</t>
  </si>
  <si>
    <t>27</t>
  </si>
  <si>
    <t>深圳樟源供应链有限公司</t>
  </si>
  <si>
    <t>2028.3.31</t>
  </si>
  <si>
    <t>关于商情支持深圳樟源供应链有限公司相关诉求的函</t>
  </si>
  <si>
    <t>25</t>
  </si>
  <si>
    <t>深圳市娜尔思时装有限公司</t>
  </si>
  <si>
    <t>2024.9.1</t>
  </si>
  <si>
    <t>2027.8.31</t>
  </si>
  <si>
    <t>福田区产业发展联席会议2024年第三次会议</t>
  </si>
  <si>
    <t>26</t>
  </si>
  <si>
    <t>28</t>
  </si>
  <si>
    <t>B栋</t>
  </si>
  <si>
    <t>湾区时尚运营中心</t>
  </si>
  <si>
    <t>2024.8.22</t>
  </si>
  <si>
    <t>关于支持“湾区时尚总部中心运营招商中心办公场地的函</t>
  </si>
  <si>
    <t>免租使用</t>
  </si>
  <si>
    <t>2025.3.10</t>
  </si>
  <si>
    <t>2030.3.9</t>
  </si>
  <si>
    <t>市场化招租（公众号）</t>
  </si>
  <si>
    <t>3层部分01</t>
  </si>
  <si>
    <t>Marie Claire International(Paris)巴黎《嘉人》国际公司、授权方：深圳市淞泽派文化传媒有限公司</t>
  </si>
  <si>
    <t>2025.7.10</t>
  </si>
  <si>
    <t>2028.7.9</t>
  </si>
  <si>
    <t>2021年第十次区产业发展联席会议决定事项通知LX20211006号/中共深圳市福田区文化广电旅游体育局党组会议纪要2025年第27期（续租）</t>
  </si>
  <si>
    <t>续租1次</t>
  </si>
  <si>
    <t>3层部分02</t>
  </si>
  <si>
    <t>3层部分03</t>
  </si>
  <si>
    <t>深圳汇洁集团股份有限公司</t>
  </si>
  <si>
    <t>一批一
2023.11.1</t>
  </si>
  <si>
    <t>2024.9.20</t>
  </si>
  <si>
    <t>2029.9.19</t>
  </si>
  <si>
    <t>2021年第十次区产业发展联席会议决定事项通知LX20211006号/中共深圳市福田区文化广电旅游体育局党组会议纪要（2025年第28期 之二）（续租）</t>
  </si>
  <si>
    <t>深圳影儿时尚集团有限公司</t>
  </si>
  <si>
    <t>二批二
2024.09.20</t>
  </si>
  <si>
    <t>2024.10.20</t>
  </si>
  <si>
    <t>2029.10.19</t>
  </si>
  <si>
    <t>二批二</t>
  </si>
  <si>
    <t>1001-03、05</t>
  </si>
  <si>
    <t>深圳市杨子服装设计有限公司</t>
  </si>
  <si>
    <t>2025.1.15</t>
  </si>
  <si>
    <t>2030.1.14</t>
  </si>
  <si>
    <t>2021年第十二次区产业发展联席会议决定事项通知LX2021203号/党组会议纪要(2025年第24期)（续租）</t>
  </si>
  <si>
    <t>1006-1009</t>
  </si>
  <si>
    <t>时代梦商贸（深圳）有限公司</t>
  </si>
  <si>
    <t>119197 71</t>
  </si>
  <si>
    <t>2030.8.14</t>
  </si>
  <si>
    <t>市场化招租（公开）</t>
  </si>
  <si>
    <t>二批一
（24.1.10）</t>
  </si>
  <si>
    <t>2023.6.10
2024.1.10</t>
  </si>
  <si>
    <t>2026.6.9</t>
  </si>
  <si>
    <t>专项资金联审委员会文化产业分项资金审批专责小组会议（2023年第一次）</t>
  </si>
  <si>
    <t>二批一</t>
  </si>
  <si>
    <t>二批二
2024.9.15</t>
  </si>
  <si>
    <t>2024.9.15</t>
  </si>
  <si>
    <t>2029.9.14</t>
  </si>
  <si>
    <t>续租1次
24.9.15-25.7.31按五折，25.8.1-29.9.14按三折</t>
  </si>
  <si>
    <t>深圳市马兰戈尼时尚与设计培训中心</t>
  </si>
  <si>
    <t>2024.11.24
2024.12.24</t>
  </si>
  <si>
    <t>2029.11.23</t>
  </si>
  <si>
    <t>2023年第四次区产业发展联席会议决定事项通知LX20230403号</t>
  </si>
  <si>
    <t>免租租用</t>
  </si>
  <si>
    <t>拟做展厅</t>
  </si>
  <si>
    <t>书记交办拟做展厅</t>
  </si>
  <si>
    <t>泰然立城产业用房空置明细表</t>
  </si>
  <si>
    <t>空置楼层</t>
  </si>
  <si>
    <t>泰然立城A栋</t>
  </si>
  <si>
    <t>2层部分</t>
  </si>
  <si>
    <t>毛坯房</t>
  </si>
  <si>
    <t>泰然立城B栋</t>
  </si>
  <si>
    <t>3层部分</t>
  </si>
  <si>
    <t>10层部分</t>
  </si>
  <si>
    <t>泰然A栋</t>
  </si>
  <si>
    <t>深圳拉飞姆时装有限公司拟入住</t>
  </si>
  <si>
    <t>泰然立城项目面积明细</t>
  </si>
  <si>
    <t>111042.10（含产业办公面积、公共配套设施、避难层、架空公共空间等）</t>
  </si>
  <si>
    <t>22205.55（包含-3、-4层车位230个（其中27个充电车位为政府产权），非机动车位340个（759.68）、设备用房，通道）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</si>
</sst>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_ "/>
  </numFmts>
  <fonts count="43">
    <font>
      <sz val="11"/>
      <color theme="1"/>
      <name val="宋体"/>
      <charset val="134"/>
      <scheme val="minor"/>
    </font>
    <font>
      <sz val="20"/>
      <color rgb="FF000000"/>
      <name val="宋体"/>
      <charset val="134"/>
    </font>
    <font>
      <sz val="12"/>
      <color rgb="FF000000"/>
      <name val="宋体"/>
      <charset val="134"/>
    </font>
    <font>
      <sz val="11"/>
      <color rgb="FF000000"/>
      <name val="宋体"/>
      <charset val="134"/>
    </font>
    <font>
      <sz val="18"/>
      <color rgb="FF000000"/>
      <name val="微软雅黑"/>
      <charset val="134"/>
    </font>
    <font>
      <b/>
      <sz val="11"/>
      <color rgb="FF000000"/>
      <name val="宋体"/>
      <charset val="134"/>
    </font>
    <font>
      <sz val="10"/>
      <color rgb="FF000000"/>
      <name val="微软雅黑"/>
      <charset val="134"/>
    </font>
    <font>
      <sz val="10"/>
      <color theme="1"/>
      <name val="微软雅黑"/>
      <charset val="134"/>
    </font>
    <font>
      <sz val="10"/>
      <color rgb="FF000000"/>
      <name val="宋体"/>
      <charset val="134"/>
    </font>
    <font>
      <sz val="10"/>
      <color theme="1"/>
      <name val="宋体"/>
      <charset val="134"/>
    </font>
    <font>
      <sz val="20"/>
      <color rgb="FF000000"/>
      <name val="微软雅黑"/>
      <charset val="134"/>
    </font>
    <font>
      <sz val="12"/>
      <color rgb="FF417FF9"/>
      <name val="宋体"/>
      <charset val="134"/>
    </font>
    <font>
      <sz val="12"/>
      <color theme="1"/>
      <name val="仿宋"/>
      <charset val="134"/>
    </font>
    <font>
      <sz val="11"/>
      <color rgb="FF417FF9"/>
      <name val="宋体"/>
      <charset val="134"/>
      <scheme val="minor"/>
    </font>
    <font>
      <sz val="11"/>
      <color rgb="FF000000"/>
      <name val="宋体"/>
      <charset val="134"/>
      <scheme val="minor"/>
    </font>
    <font>
      <sz val="20"/>
      <color theme="1"/>
      <name val="微软雅黑"/>
      <charset val="134"/>
    </font>
    <font>
      <sz val="8"/>
      <color rgb="FF000000"/>
      <name val="微软雅黑"/>
      <charset val="134"/>
    </font>
    <font>
      <sz val="10"/>
      <color rgb="FFFF0000"/>
      <name val="微软雅黑"/>
      <charset val="134"/>
    </font>
    <font>
      <sz val="10"/>
      <color rgb="FF417FF9"/>
      <name val="微软雅黑"/>
      <charset val="134"/>
    </font>
    <font>
      <sz val="6"/>
      <color rgb="FF000000"/>
      <name val="微软雅黑"/>
      <charset val="134"/>
    </font>
    <font>
      <sz val="10"/>
      <color rgb="FF548235"/>
      <name val="微软雅黑"/>
      <charset val="134"/>
    </font>
    <font>
      <sz val="9"/>
      <color rgb="FF000000"/>
      <name val="微软雅黑"/>
      <charset val="134"/>
    </font>
    <font>
      <sz val="6"/>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000000"/>
      <name val="宋体"/>
      <charset val="134"/>
    </font>
  </fonts>
  <fills count="38">
    <fill>
      <patternFill patternType="none"/>
    </fill>
    <fill>
      <patternFill patternType="gray125"/>
    </fill>
    <fill>
      <patternFill patternType="solid">
        <fgColor rgb="FFFBE5D6"/>
        <bgColor indexed="64"/>
      </patternFill>
    </fill>
    <fill>
      <patternFill patternType="solid">
        <fgColor rgb="FFDEEBF7"/>
        <bgColor indexed="64"/>
      </patternFill>
    </fill>
    <fill>
      <patternFill patternType="solid">
        <fgColor rgb="FFE2F0D9"/>
        <bgColor indexed="64"/>
      </patternFill>
    </fill>
    <fill>
      <patternFill patternType="solid">
        <fgColor rgb="FFFFFFFF"/>
        <bgColor indexed="64"/>
      </patternFill>
    </fill>
    <fill>
      <patternFill patternType="solid">
        <fgColor rgb="FFDAE3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7" borderId="16"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7" applyNumberFormat="0" applyFill="0" applyAlignment="0" applyProtection="0">
      <alignment vertical="center"/>
    </xf>
    <xf numFmtId="0" fontId="29" fillId="0" borderId="17" applyNumberFormat="0" applyFill="0" applyAlignment="0" applyProtection="0">
      <alignment vertical="center"/>
    </xf>
    <xf numFmtId="0" fontId="30" fillId="0" borderId="18" applyNumberFormat="0" applyFill="0" applyAlignment="0" applyProtection="0">
      <alignment vertical="center"/>
    </xf>
    <xf numFmtId="0" fontId="30" fillId="0" borderId="0" applyNumberFormat="0" applyFill="0" applyBorder="0" applyAlignment="0" applyProtection="0">
      <alignment vertical="center"/>
    </xf>
    <xf numFmtId="0" fontId="31" fillId="8" borderId="19" applyNumberFormat="0" applyAlignment="0" applyProtection="0">
      <alignment vertical="center"/>
    </xf>
    <xf numFmtId="0" fontId="32" fillId="9" borderId="20" applyNumberFormat="0" applyAlignment="0" applyProtection="0">
      <alignment vertical="center"/>
    </xf>
    <xf numFmtId="0" fontId="33" fillId="9" borderId="19" applyNumberFormat="0" applyAlignment="0" applyProtection="0">
      <alignment vertical="center"/>
    </xf>
    <xf numFmtId="0" fontId="34" fillId="10" borderId="21" applyNumberFormat="0" applyAlignment="0" applyProtection="0">
      <alignment vertical="center"/>
    </xf>
    <xf numFmtId="0" fontId="35" fillId="0" borderId="22" applyNumberFormat="0" applyFill="0" applyAlignment="0" applyProtection="0">
      <alignment vertical="center"/>
    </xf>
    <xf numFmtId="0" fontId="36" fillId="0" borderId="23" applyNumberFormat="0" applyFill="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0" fillId="37" borderId="0" applyNumberFormat="0" applyBorder="0" applyAlignment="0" applyProtection="0">
      <alignment vertical="center"/>
    </xf>
  </cellStyleXfs>
  <cellXfs count="257">
    <xf numFmtId="0" fontId="0" fillId="0" borderId="0" xfId="0">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0" xfId="0" applyFont="1" applyFill="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horizontal="left" vertical="center"/>
    </xf>
    <xf numFmtId="0" fontId="4" fillId="0" borderId="0" xfId="0" applyFont="1" applyFill="1" applyAlignment="1">
      <alignment horizontal="center" vertical="center"/>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3" xfId="0" applyFont="1" applyFill="1" applyBorder="1" applyAlignment="1">
      <alignment horizontal="center" vertical="center"/>
    </xf>
    <xf numFmtId="0" fontId="9" fillId="0" borderId="1" xfId="0" applyFont="1" applyFill="1" applyBorder="1" applyAlignment="1">
      <alignment horizontal="center" vertical="center" wrapText="1"/>
    </xf>
    <xf numFmtId="0" fontId="8" fillId="0" borderId="4" xfId="0" applyFont="1" applyFill="1" applyBorder="1" applyAlignment="1">
      <alignment horizontal="center" vertical="center"/>
    </xf>
    <xf numFmtId="0" fontId="6" fillId="0" borderId="5" xfId="0" applyFont="1" applyFill="1" applyBorder="1" applyAlignment="1">
      <alignment horizontal="right" vertical="center"/>
    </xf>
    <xf numFmtId="0" fontId="6" fillId="0" borderId="6" xfId="0" applyFont="1" applyFill="1" applyBorder="1" applyAlignment="1">
      <alignment horizontal="right" vertical="center"/>
    </xf>
    <xf numFmtId="0" fontId="6" fillId="0" borderId="7" xfId="0" applyFont="1" applyFill="1" applyBorder="1" applyAlignment="1">
      <alignment horizontal="right" vertical="center"/>
    </xf>
    <xf numFmtId="0" fontId="6" fillId="0" borderId="5" xfId="0" applyFont="1" applyFill="1" applyBorder="1" applyAlignment="1">
      <alignment horizontal="center" vertical="center"/>
    </xf>
    <xf numFmtId="0" fontId="7" fillId="0" borderId="7" xfId="0" applyFont="1" applyFill="1" applyBorder="1" applyAlignment="1">
      <alignment horizontal="center" vertical="center"/>
    </xf>
    <xf numFmtId="9" fontId="7" fillId="0" borderId="5" xfId="0" applyNumberFormat="1" applyFont="1" applyFill="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Border="1">
      <alignment vertical="center"/>
    </xf>
    <xf numFmtId="0" fontId="3" fillId="0" borderId="0" xfId="0" applyFont="1" applyBorder="1" applyAlignment="1">
      <alignment horizontal="center" vertical="center"/>
    </xf>
    <xf numFmtId="0" fontId="0" fillId="0" borderId="0" xfId="0" applyBorder="1" applyAlignment="1">
      <alignment horizontal="center" vertical="center" wrapText="1"/>
    </xf>
    <xf numFmtId="0" fontId="0" fillId="0" borderId="1" xfId="0" applyBorder="1" applyAlignment="1">
      <alignment horizontal="center" vertical="center" wrapText="1"/>
    </xf>
    <xf numFmtId="0" fontId="6" fillId="0" borderId="0" xfId="0" applyFont="1" applyFill="1" applyBorder="1" applyAlignment="1">
      <alignment vertical="center"/>
    </xf>
    <xf numFmtId="0" fontId="6" fillId="2" borderId="0" xfId="0" applyFont="1" applyFill="1" applyBorder="1" applyAlignment="1">
      <alignment vertical="center"/>
    </xf>
    <xf numFmtId="0" fontId="6" fillId="3" borderId="0" xfId="0" applyFont="1" applyFill="1" applyBorder="1" applyAlignment="1">
      <alignment vertical="center"/>
    </xf>
    <xf numFmtId="0" fontId="0" fillId="0" borderId="0" xfId="0" applyFill="1">
      <alignment vertical="center"/>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49" fontId="6" fillId="0" borderId="0"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4" borderId="1" xfId="0" applyFont="1" applyFill="1" applyBorder="1" applyAlignment="1">
      <alignment horizontal="center" vertical="center" wrapText="1"/>
    </xf>
    <xf numFmtId="49" fontId="6" fillId="4" borderId="1" xfId="0" applyNumberFormat="1" applyFont="1" applyFill="1" applyBorder="1" applyAlignment="1">
      <alignment horizontal="center" vertical="center" wrapText="1"/>
    </xf>
    <xf numFmtId="9" fontId="6" fillId="4" borderId="5" xfId="0" applyNumberFormat="1" applyFont="1" applyFill="1" applyBorder="1" applyAlignment="1">
      <alignment horizontal="center" vertical="center" wrapText="1"/>
    </xf>
    <xf numFmtId="9" fontId="6" fillId="4" borderId="7" xfId="0" applyNumberFormat="1"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0" borderId="3"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178" fontId="2" fillId="4" borderId="1" xfId="0" applyNumberFormat="1"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14" xfId="0" applyFont="1" applyFill="1" applyBorder="1" applyAlignment="1">
      <alignment horizontal="center" vertical="center" wrapText="1"/>
    </xf>
    <xf numFmtId="4" fontId="6" fillId="0" borderId="3" xfId="0" applyNumberFormat="1" applyFont="1" applyFill="1" applyBorder="1" applyAlignment="1">
      <alignment horizontal="center" vertical="center" wrapText="1"/>
    </xf>
    <xf numFmtId="9" fontId="6" fillId="0" borderId="3"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178" fontId="2" fillId="2" borderId="1" xfId="0" applyNumberFormat="1" applyFont="1" applyFill="1" applyBorder="1" applyAlignment="1">
      <alignment horizontal="center" vertical="center" wrapText="1"/>
    </xf>
    <xf numFmtId="9" fontId="6" fillId="2" borderId="5" xfId="0" applyNumberFormat="1" applyFont="1" applyFill="1" applyBorder="1" applyAlignment="1">
      <alignment horizontal="center" vertical="center" wrapText="1"/>
    </xf>
    <xf numFmtId="9" fontId="6" fillId="2" borderId="7" xfId="0" applyNumberFormat="1"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7" xfId="0" applyFont="1" applyFill="1" applyBorder="1" applyAlignment="1">
      <alignment horizontal="center" vertical="center" wrapText="1"/>
    </xf>
    <xf numFmtId="4" fontId="6" fillId="2" borderId="2" xfId="0" applyNumberFormat="1"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1" xfId="0" applyFont="1" applyFill="1" applyBorder="1" applyAlignment="1">
      <alignment horizontal="center" vertical="center"/>
    </xf>
    <xf numFmtId="4" fontId="6" fillId="2" borderId="4" xfId="0" applyNumberFormat="1" applyFont="1" applyFill="1" applyBorder="1" applyAlignment="1">
      <alignment horizontal="center" vertical="center" wrapText="1"/>
    </xf>
    <xf numFmtId="0" fontId="6" fillId="2" borderId="4"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3"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178" fontId="2" fillId="3" borderId="1" xfId="0" applyNumberFormat="1" applyFont="1" applyFill="1" applyBorder="1" applyAlignment="1">
      <alignment horizontal="center" vertical="center" wrapText="1"/>
    </xf>
    <xf numFmtId="9" fontId="6" fillId="3" borderId="5" xfId="0" applyNumberFormat="1" applyFont="1" applyFill="1" applyBorder="1" applyAlignment="1">
      <alignment horizontal="center" vertical="center" wrapText="1"/>
    </xf>
    <xf numFmtId="9" fontId="6" fillId="3" borderId="7" xfId="0" applyNumberFormat="1"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7" xfId="0" applyFont="1" applyFill="1" applyBorder="1" applyAlignment="1">
      <alignment horizontal="center" vertical="center" wrapText="1"/>
    </xf>
    <xf numFmtId="4" fontId="6" fillId="3" borderId="6" xfId="0" applyNumberFormat="1" applyFont="1" applyFill="1" applyBorder="1" applyAlignment="1">
      <alignment horizontal="center" vertical="center" wrapText="1"/>
    </xf>
    <xf numFmtId="4" fontId="6" fillId="3" borderId="7" xfId="0" applyNumberFormat="1" applyFont="1" applyFill="1" applyBorder="1" applyAlignment="1">
      <alignment horizontal="center" vertical="center" wrapText="1"/>
    </xf>
    <xf numFmtId="4" fontId="6" fillId="3" borderId="1" xfId="0" applyNumberFormat="1"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178" fontId="8" fillId="3" borderId="1" xfId="0" applyNumberFormat="1" applyFont="1" applyFill="1" applyBorder="1" applyAlignment="1">
      <alignment horizontal="center" vertical="center" wrapText="1"/>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0" borderId="1" xfId="0" applyFont="1" applyFill="1" applyBorder="1" applyAlignment="1">
      <alignment horizontal="center" vertical="center"/>
    </xf>
    <xf numFmtId="49" fontId="2" fillId="0" borderId="1" xfId="0" applyNumberFormat="1" applyFont="1" applyFill="1" applyBorder="1" applyAlignment="1">
      <alignment horizontal="center" vertical="center" wrapText="1"/>
    </xf>
    <xf numFmtId="9" fontId="6" fillId="0" borderId="5" xfId="0" applyNumberFormat="1" applyFont="1" applyFill="1" applyBorder="1" applyAlignment="1">
      <alignment horizontal="center" vertical="center"/>
    </xf>
    <xf numFmtId="9" fontId="6" fillId="0" borderId="7" xfId="0" applyNumberFormat="1" applyFont="1" applyFill="1" applyBorder="1" applyAlignment="1">
      <alignment horizontal="center" vertical="center"/>
    </xf>
    <xf numFmtId="0" fontId="6" fillId="0" borderId="7"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10" xfId="0" applyFont="1" applyFill="1" applyBorder="1" applyAlignment="1">
      <alignment horizontal="center" vertical="center"/>
    </xf>
    <xf numFmtId="0" fontId="6" fillId="0" borderId="9" xfId="0" applyFont="1" applyFill="1" applyBorder="1" applyAlignment="1">
      <alignment horizontal="center" vertical="center"/>
    </xf>
    <xf numFmtId="4" fontId="6" fillId="0" borderId="2" xfId="0" applyNumberFormat="1" applyFont="1" applyFill="1" applyBorder="1" applyAlignment="1">
      <alignment horizontal="center" vertical="center"/>
    </xf>
    <xf numFmtId="9" fontId="6" fillId="0" borderId="2" xfId="0" applyNumberFormat="1" applyFont="1" applyFill="1" applyBorder="1" applyAlignment="1">
      <alignment horizontal="center" vertical="center"/>
    </xf>
    <xf numFmtId="0" fontId="6" fillId="0" borderId="0" xfId="0" applyFont="1" applyFill="1" applyAlignment="1">
      <alignment horizontal="center" vertical="center"/>
    </xf>
    <xf numFmtId="0" fontId="6" fillId="0" borderId="14" xfId="0" applyFont="1" applyFill="1" applyBorder="1" applyAlignment="1">
      <alignment horizontal="center" vertical="center"/>
    </xf>
    <xf numFmtId="9" fontId="6" fillId="0" borderId="4" xfId="0" applyNumberFormat="1" applyFont="1" applyFill="1" applyBorder="1" applyAlignment="1">
      <alignment horizontal="center" vertical="center"/>
    </xf>
    <xf numFmtId="0" fontId="6" fillId="0" borderId="8"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11" xfId="0" applyFont="1" applyFill="1" applyBorder="1" applyAlignment="1">
      <alignment horizontal="center" vertical="center"/>
    </xf>
    <xf numFmtId="49" fontId="2" fillId="0" borderId="4" xfId="0" applyNumberFormat="1" applyFont="1" applyFill="1" applyBorder="1" applyAlignment="1">
      <alignment horizontal="center" vertical="center" wrapText="1"/>
    </xf>
    <xf numFmtId="9" fontId="6" fillId="0" borderId="1" xfId="0" applyNumberFormat="1" applyFont="1" applyFill="1" applyBorder="1" applyAlignment="1">
      <alignment horizontal="center" vertical="center"/>
    </xf>
    <xf numFmtId="49" fontId="6" fillId="0"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49" fontId="6" fillId="4" borderId="1" xfId="0" applyNumberFormat="1" applyFont="1" applyFill="1" applyBorder="1" applyAlignment="1">
      <alignment horizontal="center" vertical="center"/>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6" xfId="0" applyFont="1" applyFill="1" applyBorder="1" applyAlignment="1">
      <alignment horizontal="center" vertical="center"/>
    </xf>
    <xf numFmtId="178" fontId="2" fillId="0" borderId="1" xfId="0" applyNumberFormat="1" applyFont="1" applyFill="1" applyBorder="1" applyAlignment="1">
      <alignment horizontal="center" vertical="center" wrapText="1"/>
    </xf>
    <xf numFmtId="0" fontId="6" fillId="0" borderId="13" xfId="0" applyFont="1" applyFill="1" applyBorder="1" applyAlignment="1">
      <alignment horizontal="center" vertical="center"/>
    </xf>
    <xf numFmtId="0" fontId="6" fillId="0" borderId="12" xfId="0" applyFont="1" applyFill="1" applyBorder="1" applyAlignment="1">
      <alignment horizontal="center" vertical="center"/>
    </xf>
    <xf numFmtId="49" fontId="2" fillId="0" borderId="1" xfId="0" applyNumberFormat="1" applyFont="1" applyFill="1" applyBorder="1" applyAlignment="1">
      <alignment horizontal="center" vertical="center"/>
    </xf>
    <xf numFmtId="178" fontId="2" fillId="0" borderId="1" xfId="0" applyNumberFormat="1" applyFont="1" applyFill="1" applyBorder="1" applyAlignment="1">
      <alignment horizontal="center" vertical="center"/>
    </xf>
    <xf numFmtId="4" fontId="6" fillId="0" borderId="1" xfId="0" applyNumberFormat="1" applyFont="1" applyFill="1" applyBorder="1" applyAlignment="1">
      <alignment horizontal="center" vertical="center"/>
    </xf>
    <xf numFmtId="4" fontId="6" fillId="0" borderId="3" xfId="0" applyNumberFormat="1" applyFont="1" applyFill="1" applyBorder="1" applyAlignment="1">
      <alignment horizontal="center" vertical="center"/>
    </xf>
    <xf numFmtId="4" fontId="6" fillId="0" borderId="4" xfId="0" applyNumberFormat="1" applyFont="1" applyFill="1" applyBorder="1" applyAlignment="1">
      <alignment horizontal="center" vertical="center"/>
    </xf>
    <xf numFmtId="0" fontId="2" fillId="4" borderId="1" xfId="0" applyFont="1" applyFill="1" applyBorder="1" applyAlignment="1">
      <alignment horizontal="center" vertical="center"/>
    </xf>
    <xf numFmtId="49" fontId="11"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wrapText="1"/>
    </xf>
    <xf numFmtId="178" fontId="2" fillId="0" borderId="0" xfId="0" applyNumberFormat="1" applyFont="1" applyFill="1" applyBorder="1" applyAlignment="1">
      <alignment horizontal="center" vertical="center" wrapText="1"/>
    </xf>
    <xf numFmtId="49" fontId="2" fillId="0" borderId="0" xfId="0" applyNumberFormat="1" applyFont="1" applyFill="1" applyBorder="1" applyAlignment="1">
      <alignment horizontal="center" vertical="center"/>
    </xf>
    <xf numFmtId="178" fontId="2" fillId="0" borderId="0"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NumberFormat="1" applyFont="1" applyFill="1" applyBorder="1" applyAlignment="1">
      <alignment horizontal="center" vertical="center" wrapText="1"/>
    </xf>
    <xf numFmtId="0" fontId="3" fillId="0" borderId="0" xfId="0" applyFont="1" applyBorder="1">
      <alignment vertical="center"/>
    </xf>
    <xf numFmtId="0" fontId="3" fillId="0" borderId="0" xfId="0" applyFont="1">
      <alignment vertical="center"/>
    </xf>
    <xf numFmtId="0" fontId="12" fillId="0" borderId="0" xfId="0" applyFont="1" applyAlignment="1">
      <alignment horizontal="justify" vertical="center"/>
    </xf>
    <xf numFmtId="0" fontId="6" fillId="0" borderId="1" xfId="0" applyFont="1" applyFill="1" applyBorder="1" applyAlignment="1">
      <alignment horizontal="right" vertical="center"/>
    </xf>
    <xf numFmtId="0" fontId="7" fillId="0" borderId="1" xfId="0" applyFont="1" applyFill="1" applyBorder="1" applyAlignment="1">
      <alignment horizontal="right" vertical="center"/>
    </xf>
    <xf numFmtId="0" fontId="7" fillId="0" borderId="7" xfId="0" applyFont="1" applyFill="1" applyBorder="1" applyAlignment="1">
      <alignment horizontal="right" vertical="center"/>
    </xf>
    <xf numFmtId="0" fontId="3" fillId="4" borderId="0" xfId="0" applyFont="1" applyFill="1" applyAlignment="1">
      <alignment horizontal="center" vertical="center"/>
    </xf>
    <xf numFmtId="0" fontId="0" fillId="4" borderId="0" xfId="0" applyFill="1" applyAlignment="1">
      <alignment horizontal="center" vertical="center"/>
    </xf>
    <xf numFmtId="0" fontId="3" fillId="0" borderId="0" xfId="0" applyFont="1" applyFill="1" applyAlignment="1">
      <alignment horizontal="center" vertical="center"/>
    </xf>
    <xf numFmtId="0" fontId="0" fillId="0" borderId="0" xfId="0" applyFill="1" applyAlignment="1">
      <alignment horizontal="center" vertical="center"/>
    </xf>
    <xf numFmtId="0" fontId="3" fillId="0" borderId="0" xfId="0" applyFont="1" applyFill="1" applyBorder="1" applyAlignment="1">
      <alignment horizontal="center" vertical="center" wrapText="1"/>
    </xf>
    <xf numFmtId="0" fontId="0" fillId="2" borderId="0" xfId="0" applyFill="1">
      <alignment vertical="center"/>
    </xf>
    <xf numFmtId="0" fontId="13" fillId="0" borderId="0" xfId="0" applyFont="1">
      <alignment vertical="center"/>
    </xf>
    <xf numFmtId="0" fontId="14" fillId="0" borderId="0" xfId="0" applyFont="1" applyFill="1">
      <alignment vertical="center"/>
    </xf>
    <xf numFmtId="0" fontId="14" fillId="2" borderId="0" xfId="0" applyFont="1" applyFill="1">
      <alignment vertical="center"/>
    </xf>
    <xf numFmtId="0" fontId="14" fillId="0" borderId="0" xfId="0" applyFont="1">
      <alignment vertical="center"/>
    </xf>
    <xf numFmtId="0" fontId="7" fillId="0" borderId="0" xfId="0" applyFont="1" applyFill="1" applyAlignment="1">
      <alignment horizontal="center" vertical="center"/>
    </xf>
    <xf numFmtId="0" fontId="7" fillId="0" borderId="0"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6" fillId="0" borderId="7" xfId="0" applyFont="1" applyFill="1" applyBorder="1" applyAlignment="1">
      <alignment horizontal="center" vertical="center" wrapText="1"/>
    </xf>
    <xf numFmtId="9" fontId="7" fillId="0" borderId="1" xfId="0" applyNumberFormat="1"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4" fontId="6" fillId="2" borderId="1" xfId="0" applyNumberFormat="1" applyFont="1" applyFill="1" applyBorder="1" applyAlignment="1">
      <alignment horizontal="center" vertical="center" wrapText="1"/>
    </xf>
    <xf numFmtId="0" fontId="7" fillId="2" borderId="7" xfId="0" applyFont="1" applyFill="1" applyBorder="1" applyAlignment="1">
      <alignment horizontal="center" vertical="center" wrapText="1"/>
    </xf>
    <xf numFmtId="9" fontId="7" fillId="2" borderId="1" xfId="0" applyNumberFormat="1" applyFont="1" applyFill="1" applyBorder="1" applyAlignment="1">
      <alignment horizontal="center" vertical="center" wrapText="1"/>
    </xf>
    <xf numFmtId="4" fontId="7" fillId="2" borderId="1" xfId="0" applyNumberFormat="1" applyFont="1" applyFill="1" applyBorder="1" applyAlignment="1">
      <alignment horizontal="center" vertical="center" wrapText="1"/>
    </xf>
    <xf numFmtId="9" fontId="6" fillId="2" borderId="1" xfId="0" applyNumberFormat="1" applyFont="1" applyFill="1" applyBorder="1" applyAlignment="1">
      <alignment horizontal="center" vertical="center" wrapText="1"/>
    </xf>
    <xf numFmtId="4" fontId="7" fillId="0" borderId="1" xfId="0" applyNumberFormat="1" applyFont="1" applyFill="1" applyBorder="1" applyAlignment="1">
      <alignment horizontal="center" vertical="center" wrapText="1"/>
    </xf>
    <xf numFmtId="9" fontId="6" fillId="0" borderId="1" xfId="0" applyNumberFormat="1" applyFont="1" applyFill="1" applyBorder="1" applyAlignment="1">
      <alignment horizontal="center" vertical="center" wrapText="1"/>
    </xf>
    <xf numFmtId="0" fontId="7" fillId="2" borderId="5" xfId="0" applyFont="1" applyFill="1" applyBorder="1" applyAlignment="1">
      <alignment horizontal="center" vertical="center" wrapText="1"/>
    </xf>
    <xf numFmtId="4" fontId="6" fillId="0" borderId="1" xfId="0" applyNumberFormat="1" applyFont="1" applyFill="1" applyBorder="1" applyAlignment="1">
      <alignment horizontal="center" vertical="center" wrapText="1"/>
    </xf>
    <xf numFmtId="4" fontId="7" fillId="5" borderId="1" xfId="0" applyNumberFormat="1" applyFont="1" applyFill="1" applyBorder="1" applyAlignment="1">
      <alignment horizontal="center" vertical="center" wrapText="1"/>
    </xf>
    <xf numFmtId="4" fontId="7" fillId="5" borderId="2"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9" fontId="7" fillId="5" borderId="1" xfId="0" applyNumberFormat="1" applyFont="1" applyFill="1" applyBorder="1" applyAlignment="1">
      <alignment horizontal="center" vertical="center" wrapText="1"/>
    </xf>
    <xf numFmtId="4" fontId="7" fillId="5" borderId="3" xfId="0" applyNumberFormat="1" applyFont="1" applyFill="1" applyBorder="1" applyAlignment="1">
      <alignment horizontal="center" vertical="center" wrapText="1"/>
    </xf>
    <xf numFmtId="4" fontId="7" fillId="5" borderId="4" xfId="0" applyNumberFormat="1" applyFont="1" applyFill="1" applyBorder="1" applyAlignment="1">
      <alignment horizontal="center" vertical="center" wrapText="1"/>
    </xf>
    <xf numFmtId="4" fontId="7" fillId="0" borderId="2" xfId="0" applyNumberFormat="1" applyFont="1" applyFill="1" applyBorder="1" applyAlignment="1">
      <alignment horizontal="center" vertical="center" wrapText="1"/>
    </xf>
    <xf numFmtId="4" fontId="7" fillId="0" borderId="4" xfId="0" applyNumberFormat="1" applyFont="1" applyFill="1" applyBorder="1" applyAlignment="1">
      <alignment horizontal="center" vertical="center" wrapText="1"/>
    </xf>
    <xf numFmtId="4" fontId="6" fillId="5" borderId="1" xfId="0" applyNumberFormat="1"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9" xfId="0" applyFont="1" applyFill="1" applyBorder="1" applyAlignment="1">
      <alignment horizontal="center" vertical="center" wrapText="1"/>
    </xf>
    <xf numFmtId="9" fontId="6" fillId="0" borderId="2" xfId="0" applyNumberFormat="1" applyFont="1" applyFill="1" applyBorder="1" applyAlignment="1">
      <alignment horizontal="center" vertical="center" wrapText="1"/>
    </xf>
    <xf numFmtId="9" fontId="6" fillId="0" borderId="4" xfId="0" applyNumberFormat="1" applyFont="1" applyFill="1" applyBorder="1" applyAlignment="1">
      <alignment horizontal="center" vertical="center" wrapText="1"/>
    </xf>
    <xf numFmtId="4" fontId="6" fillId="0" borderId="4" xfId="0" applyNumberFormat="1" applyFont="1" applyFill="1" applyBorder="1" applyAlignment="1">
      <alignment horizontal="center" vertical="center" wrapText="1"/>
    </xf>
    <xf numFmtId="4" fontId="6" fillId="0" borderId="2" xfId="0" applyNumberFormat="1" applyFont="1" applyFill="1" applyBorder="1" applyAlignment="1">
      <alignment horizontal="center" vertical="center" wrapText="1"/>
    </xf>
    <xf numFmtId="9" fontId="7" fillId="0" borderId="2" xfId="0" applyNumberFormat="1" applyFont="1" applyFill="1" applyBorder="1" applyAlignment="1">
      <alignment horizontal="center" vertical="center" wrapText="1"/>
    </xf>
    <xf numFmtId="9" fontId="7" fillId="0" borderId="3" xfId="0" applyNumberFormat="1" applyFont="1" applyFill="1" applyBorder="1" applyAlignment="1">
      <alignment horizontal="center" vertical="center" wrapText="1"/>
    </xf>
    <xf numFmtId="0" fontId="18" fillId="0" borderId="5" xfId="0" applyFont="1" applyFill="1" applyBorder="1" applyAlignment="1">
      <alignment horizontal="center" vertical="center" wrapText="1"/>
    </xf>
    <xf numFmtId="0" fontId="18" fillId="0" borderId="1" xfId="0" applyFont="1" applyFill="1" applyBorder="1" applyAlignment="1">
      <alignment horizontal="center" vertical="center" wrapText="1"/>
    </xf>
    <xf numFmtId="4" fontId="7" fillId="0" borderId="3" xfId="0" applyNumberFormat="1" applyFont="1" applyFill="1" applyBorder="1" applyAlignment="1">
      <alignment horizontal="center" vertical="center" wrapText="1"/>
    </xf>
    <xf numFmtId="0" fontId="17" fillId="3" borderId="1"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20" fillId="0" borderId="5" xfId="0" applyFont="1" applyFill="1" applyBorder="1" applyAlignment="1">
      <alignment horizontal="center" vertical="center" wrapText="1"/>
    </xf>
    <xf numFmtId="0" fontId="20" fillId="0" borderId="7" xfId="0" applyFont="1" applyFill="1" applyBorder="1" applyAlignment="1">
      <alignment horizontal="center" vertical="center" wrapText="1"/>
    </xf>
    <xf numFmtId="9" fontId="20" fillId="0" borderId="1" xfId="0" applyNumberFormat="1" applyFont="1" applyFill="1" applyBorder="1" applyAlignment="1">
      <alignment horizontal="center" vertical="center" wrapText="1"/>
    </xf>
    <xf numFmtId="4" fontId="20" fillId="0" borderId="1" xfId="0" applyNumberFormat="1" applyFont="1" applyFill="1" applyBorder="1" applyAlignment="1">
      <alignment horizontal="center" vertical="center" wrapText="1"/>
    </xf>
    <xf numFmtId="0" fontId="18" fillId="0" borderId="9"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16" fillId="0" borderId="5" xfId="0" applyFont="1" applyFill="1" applyBorder="1" applyAlignment="1">
      <alignment horizontal="center" vertical="center" wrapText="1"/>
    </xf>
    <xf numFmtId="9" fontId="6" fillId="3" borderId="1" xfId="0" applyNumberFormat="1" applyFont="1" applyFill="1" applyBorder="1" applyAlignment="1">
      <alignment horizontal="center" vertical="center" wrapText="1"/>
    </xf>
    <xf numFmtId="4" fontId="7" fillId="3" borderId="1" xfId="0" applyNumberFormat="1" applyFont="1" applyFill="1" applyBorder="1" applyAlignment="1">
      <alignment horizontal="center" vertical="center" wrapText="1"/>
    </xf>
    <xf numFmtId="0" fontId="6" fillId="0" borderId="14" xfId="0" applyFont="1" applyFill="1" applyBorder="1" applyAlignment="1">
      <alignment horizontal="center" vertical="center" wrapText="1"/>
    </xf>
    <xf numFmtId="49" fontId="6" fillId="0" borderId="0" xfId="0" applyNumberFormat="1" applyFont="1" applyFill="1" applyAlignment="1">
      <alignment horizontal="center" vertical="center"/>
    </xf>
    <xf numFmtId="49" fontId="6" fillId="2" borderId="1" xfId="0" applyNumberFormat="1" applyFont="1" applyFill="1" applyBorder="1" applyAlignment="1">
      <alignment horizontal="center" vertical="center" wrapText="1"/>
    </xf>
    <xf numFmtId="0" fontId="7" fillId="2" borderId="14"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4" fontId="6" fillId="0" borderId="9" xfId="0" applyNumberFormat="1" applyFont="1" applyFill="1" applyBorder="1" applyAlignment="1">
      <alignment horizontal="center" vertical="center" wrapText="1"/>
    </xf>
    <xf numFmtId="9" fontId="6" fillId="0" borderId="7" xfId="0" applyNumberFormat="1" applyFont="1" applyFill="1" applyBorder="1" applyAlignment="1">
      <alignment horizontal="center" vertical="center" wrapText="1"/>
    </xf>
    <xf numFmtId="4" fontId="7" fillId="5" borderId="9" xfId="0" applyNumberFormat="1" applyFont="1" applyFill="1" applyBorder="1" applyAlignment="1">
      <alignment horizontal="center" vertical="center" wrapText="1"/>
    </xf>
    <xf numFmtId="4" fontId="6" fillId="5" borderId="7" xfId="0" applyNumberFormat="1" applyFont="1" applyFill="1" applyBorder="1" applyAlignment="1">
      <alignment horizontal="center" vertical="center" wrapText="1"/>
    </xf>
    <xf numFmtId="4" fontId="6" fillId="5" borderId="5" xfId="0" applyNumberFormat="1"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5" borderId="9" xfId="0" applyFont="1" applyFill="1" applyBorder="1" applyAlignment="1">
      <alignment horizontal="center" vertical="center" wrapText="1"/>
    </xf>
    <xf numFmtId="9" fontId="7" fillId="5" borderId="9" xfId="0" applyNumberFormat="1" applyFont="1" applyFill="1" applyBorder="1" applyAlignment="1">
      <alignment horizontal="center" vertical="center" wrapText="1"/>
    </xf>
    <xf numFmtId="9" fontId="7" fillId="0" borderId="4" xfId="0" applyNumberFormat="1" applyFont="1" applyFill="1" applyBorder="1" applyAlignment="1">
      <alignment horizontal="center" vertical="center" wrapText="1"/>
    </xf>
    <xf numFmtId="4" fontId="7" fillId="5" borderId="12" xfId="0" applyNumberFormat="1"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12" xfId="0" applyFont="1" applyFill="1" applyBorder="1" applyAlignment="1">
      <alignment horizontal="center" vertical="center" wrapText="1"/>
    </xf>
    <xf numFmtId="9" fontId="7" fillId="5" borderId="12" xfId="0" applyNumberFormat="1" applyFont="1" applyFill="1" applyBorder="1" applyAlignment="1">
      <alignment horizontal="center" vertical="center" wrapText="1"/>
    </xf>
    <xf numFmtId="4" fontId="17" fillId="0" borderId="2" xfId="0" applyNumberFormat="1" applyFont="1" applyFill="1" applyBorder="1" applyAlignment="1">
      <alignment horizontal="center" vertical="center" wrapText="1"/>
    </xf>
    <xf numFmtId="0" fontId="22" fillId="0" borderId="7" xfId="0" applyFont="1" applyFill="1" applyBorder="1" applyAlignment="1">
      <alignment horizontal="center" vertical="center" wrapText="1"/>
    </xf>
    <xf numFmtId="9" fontId="16" fillId="0" borderId="1" xfId="0" applyNumberFormat="1" applyFont="1" applyFill="1" applyBorder="1" applyAlignment="1">
      <alignment horizontal="center" vertical="center" wrapText="1"/>
    </xf>
    <xf numFmtId="9" fontId="6" fillId="0" borderId="9" xfId="0" applyNumberFormat="1" applyFont="1" applyFill="1" applyBorder="1" applyAlignment="1">
      <alignment horizontal="center" vertical="center" wrapText="1"/>
    </xf>
    <xf numFmtId="0" fontId="7" fillId="0" borderId="11" xfId="0" applyFont="1" applyFill="1" applyBorder="1" applyAlignment="1">
      <alignment horizontal="center" vertical="center" wrapText="1"/>
    </xf>
    <xf numFmtId="0" fontId="18" fillId="0" borderId="0" xfId="0" applyFont="1" applyFill="1" applyBorder="1" applyAlignment="1">
      <alignment horizontal="center" vertical="center" wrapText="1"/>
    </xf>
    <xf numFmtId="9" fontId="7" fillId="0" borderId="0"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80"/>
  <sheetViews>
    <sheetView tabSelected="1" workbookViewId="0">
      <selection activeCell="M6" sqref="M6:N6"/>
    </sheetView>
  </sheetViews>
  <sheetFormatPr defaultColWidth="8.8" defaultRowHeight="16.5"/>
  <cols>
    <col min="1" max="1" width="3.625" style="160" customWidth="1"/>
    <col min="2" max="2" width="11.375" style="160" customWidth="1"/>
    <col min="3" max="3" width="8.125" style="160" customWidth="1"/>
    <col min="4" max="4" width="34.375" style="160" customWidth="1"/>
    <col min="5" max="5" width="11.375" style="160" customWidth="1"/>
    <col min="6" max="6" width="11.375" style="161" customWidth="1"/>
    <col min="7" max="9" width="12.75" style="160" customWidth="1"/>
    <col min="10" max="14" width="15" style="160" customWidth="1"/>
    <col min="15" max="20" width="12.75" style="160"/>
    <col min="21" max="21" width="37.25" style="160" customWidth="1"/>
    <col min="22" max="22" width="11.25" style="160" customWidth="1"/>
    <col min="23" max="23" width="16.75" style="160" customWidth="1"/>
  </cols>
  <sheetData>
    <row r="1" ht="38.25" customHeight="1" spans="1:23">
      <c r="A1" s="44" t="s">
        <v>0</v>
      </c>
      <c r="B1" s="162"/>
      <c r="C1" s="162"/>
      <c r="D1" s="162"/>
      <c r="E1" s="163"/>
      <c r="F1" s="164"/>
      <c r="G1" s="165"/>
      <c r="H1" s="162"/>
      <c r="I1" s="162"/>
      <c r="J1" s="162"/>
      <c r="K1" s="162"/>
      <c r="L1" s="162"/>
      <c r="M1" s="162"/>
      <c r="N1" s="162"/>
      <c r="O1" s="162"/>
      <c r="P1" s="162"/>
      <c r="Q1" s="162"/>
      <c r="R1" s="162"/>
      <c r="S1" s="162"/>
      <c r="T1" s="162"/>
      <c r="U1" s="162"/>
      <c r="V1" s="162"/>
      <c r="W1" s="162"/>
    </row>
    <row r="2" ht="21" customHeight="1" spans="1:23">
      <c r="A2" s="166" t="s">
        <v>1</v>
      </c>
      <c r="B2" s="166" t="s">
        <v>2</v>
      </c>
      <c r="C2" s="166" t="s">
        <v>3</v>
      </c>
      <c r="D2" s="166" t="s">
        <v>4</v>
      </c>
      <c r="E2" s="167" t="s">
        <v>5</v>
      </c>
      <c r="F2" s="13" t="s">
        <v>6</v>
      </c>
      <c r="G2" s="49" t="s">
        <v>7</v>
      </c>
      <c r="H2" s="166" t="s">
        <v>8</v>
      </c>
      <c r="I2" s="13" t="s">
        <v>9</v>
      </c>
      <c r="J2" s="13" t="s">
        <v>10</v>
      </c>
      <c r="K2" s="13" t="s">
        <v>11</v>
      </c>
      <c r="L2" s="13" t="s">
        <v>12</v>
      </c>
      <c r="M2" s="13" t="s">
        <v>13</v>
      </c>
      <c r="N2" s="46" t="s">
        <v>14</v>
      </c>
      <c r="O2" s="166" t="s">
        <v>15</v>
      </c>
      <c r="P2" s="166" t="s">
        <v>16</v>
      </c>
      <c r="Q2" s="166" t="s">
        <v>17</v>
      </c>
      <c r="R2" s="13" t="s">
        <v>18</v>
      </c>
      <c r="S2" s="166" t="s">
        <v>19</v>
      </c>
      <c r="T2" s="166" t="s">
        <v>20</v>
      </c>
      <c r="U2" s="166" t="s">
        <v>21</v>
      </c>
      <c r="V2" s="166" t="s">
        <v>22</v>
      </c>
      <c r="W2" s="166" t="s">
        <v>23</v>
      </c>
    </row>
    <row r="3" ht="21" customHeight="1" spans="1:23">
      <c r="A3" s="166"/>
      <c r="B3" s="166"/>
      <c r="C3" s="166"/>
      <c r="D3" s="166"/>
      <c r="E3" s="168"/>
      <c r="F3" s="13"/>
      <c r="G3" s="169"/>
      <c r="H3" s="166"/>
      <c r="I3" s="166"/>
      <c r="J3" s="166"/>
      <c r="K3" s="166"/>
      <c r="L3" s="166"/>
      <c r="M3" s="166"/>
      <c r="N3" s="51"/>
      <c r="O3" s="166"/>
      <c r="P3" s="166"/>
      <c r="Q3" s="166"/>
      <c r="R3" s="166"/>
      <c r="S3" s="166"/>
      <c r="T3" s="166"/>
      <c r="U3" s="166"/>
      <c r="V3" s="166"/>
      <c r="W3" s="166"/>
    </row>
    <row r="4" ht="21" customHeight="1" spans="1:23">
      <c r="A4" s="166"/>
      <c r="B4" s="62" t="s">
        <v>24</v>
      </c>
      <c r="C4" s="166">
        <v>3</v>
      </c>
      <c r="D4" s="166" t="s">
        <v>25</v>
      </c>
      <c r="E4" s="168"/>
      <c r="F4" s="166"/>
      <c r="G4" s="170" t="s">
        <v>26</v>
      </c>
      <c r="H4" s="171">
        <v>0.3</v>
      </c>
      <c r="I4" s="13" t="s">
        <v>27</v>
      </c>
      <c r="J4" s="168" t="s">
        <v>28</v>
      </c>
      <c r="K4" s="172"/>
      <c r="L4" s="172"/>
      <c r="M4" s="172"/>
      <c r="N4" s="172"/>
      <c r="O4" s="172"/>
      <c r="P4" s="172"/>
      <c r="Q4" s="172"/>
      <c r="R4" s="172"/>
      <c r="S4" s="173"/>
      <c r="T4" s="13" t="s">
        <v>29</v>
      </c>
      <c r="U4" s="166" t="s">
        <v>30</v>
      </c>
      <c r="V4" s="13" t="s">
        <v>31</v>
      </c>
      <c r="W4" s="166"/>
    </row>
    <row r="5" ht="21" customHeight="1" spans="1:23">
      <c r="A5" s="166"/>
      <c r="B5" s="174"/>
      <c r="C5" s="166">
        <v>4</v>
      </c>
      <c r="D5" s="13" t="s">
        <v>25</v>
      </c>
      <c r="E5" s="168"/>
      <c r="F5" s="166"/>
      <c r="G5" s="170" t="s">
        <v>26</v>
      </c>
      <c r="H5" s="171">
        <v>0.3</v>
      </c>
      <c r="I5" s="13" t="s">
        <v>27</v>
      </c>
      <c r="J5" s="167" t="s">
        <v>28</v>
      </c>
      <c r="K5" s="175"/>
      <c r="L5" s="175"/>
      <c r="M5" s="175"/>
      <c r="N5" s="175"/>
      <c r="O5" s="172"/>
      <c r="P5" s="172"/>
      <c r="Q5" s="172"/>
      <c r="R5" s="172"/>
      <c r="S5" s="173"/>
      <c r="T5" s="13" t="s">
        <v>29</v>
      </c>
      <c r="U5" s="166" t="s">
        <v>30</v>
      </c>
      <c r="V5" s="166"/>
      <c r="W5" s="166"/>
    </row>
    <row r="6" s="155" customFormat="1" ht="21" customHeight="1" spans="1:23">
      <c r="A6" s="176"/>
      <c r="B6" s="177"/>
      <c r="C6" s="176">
        <v>5</v>
      </c>
      <c r="D6" s="176" t="s">
        <v>32</v>
      </c>
      <c r="E6" s="75">
        <v>1898.57</v>
      </c>
      <c r="F6" s="178">
        <v>1898.57</v>
      </c>
      <c r="G6" s="179">
        <v>108</v>
      </c>
      <c r="H6" s="180">
        <v>0.5</v>
      </c>
      <c r="I6" s="176">
        <f>ROUND(G6*H6,2)</f>
        <v>54</v>
      </c>
      <c r="J6" s="181">
        <f>ROUND(I6*E6,2)</f>
        <v>102522.78</v>
      </c>
      <c r="K6" s="181">
        <v>102522.78</v>
      </c>
      <c r="L6" s="181">
        <v>102522.78</v>
      </c>
      <c r="M6" s="178" t="s">
        <v>33</v>
      </c>
      <c r="N6" s="178" t="s">
        <v>33</v>
      </c>
      <c r="O6" s="69" t="s">
        <v>34</v>
      </c>
      <c r="P6" s="69" t="s">
        <v>35</v>
      </c>
      <c r="Q6" s="176">
        <v>3</v>
      </c>
      <c r="R6" s="69" t="s">
        <v>36</v>
      </c>
      <c r="S6" s="182" t="s">
        <v>37</v>
      </c>
      <c r="T6" s="69" t="s">
        <v>38</v>
      </c>
      <c r="U6" s="69" t="s">
        <v>39</v>
      </c>
      <c r="V6" s="176"/>
      <c r="W6" s="176"/>
    </row>
    <row r="7" s="40" customFormat="1" ht="21" customHeight="1" spans="1:23">
      <c r="A7" s="166"/>
      <c r="B7" s="174"/>
      <c r="C7" s="166">
        <v>6</v>
      </c>
      <c r="D7" s="166" t="s">
        <v>40</v>
      </c>
      <c r="E7" s="168">
        <v>1898.52</v>
      </c>
      <c r="F7" s="183">
        <v>1898.52</v>
      </c>
      <c r="G7" s="173">
        <v>108</v>
      </c>
      <c r="H7" s="184">
        <v>0.7</v>
      </c>
      <c r="I7" s="13">
        <v>75.6</v>
      </c>
      <c r="J7" s="13">
        <v>143528.11</v>
      </c>
      <c r="K7" s="166">
        <v>143528.11</v>
      </c>
      <c r="L7" s="166">
        <v>143528.11</v>
      </c>
      <c r="M7" s="13" t="s">
        <v>33</v>
      </c>
      <c r="N7" s="13" t="s">
        <v>33</v>
      </c>
      <c r="O7" s="13" t="s">
        <v>41</v>
      </c>
      <c r="P7" s="13" t="s">
        <v>42</v>
      </c>
      <c r="Q7" s="166">
        <v>3</v>
      </c>
      <c r="R7" s="166">
        <v>3</v>
      </c>
      <c r="S7" s="13" t="s">
        <v>37</v>
      </c>
      <c r="T7" s="13" t="s">
        <v>43</v>
      </c>
      <c r="U7" s="13" t="s">
        <v>44</v>
      </c>
      <c r="V7" s="166"/>
      <c r="W7" s="166"/>
    </row>
    <row r="8" s="155" customFormat="1" ht="21" customHeight="1" spans="1:23">
      <c r="A8" s="176"/>
      <c r="B8" s="177"/>
      <c r="C8" s="176">
        <v>7</v>
      </c>
      <c r="D8" s="176" t="s">
        <v>45</v>
      </c>
      <c r="E8" s="185">
        <v>1898.52</v>
      </c>
      <c r="F8" s="181">
        <v>1898.52</v>
      </c>
      <c r="G8" s="179">
        <v>109</v>
      </c>
      <c r="H8" s="180">
        <v>0.5</v>
      </c>
      <c r="I8" s="176">
        <f>ROUND(G8*H8,2)</f>
        <v>54.5</v>
      </c>
      <c r="J8" s="178">
        <f>ROUND(I8*E8,2)</f>
        <v>103469.34</v>
      </c>
      <c r="K8" s="178">
        <v>103469.34</v>
      </c>
      <c r="L8" s="178">
        <v>103469.34</v>
      </c>
      <c r="M8" s="178" t="s">
        <v>33</v>
      </c>
      <c r="N8" s="178" t="s">
        <v>33</v>
      </c>
      <c r="O8" s="69" t="s">
        <v>46</v>
      </c>
      <c r="P8" s="69" t="s">
        <v>47</v>
      </c>
      <c r="Q8" s="176">
        <v>3</v>
      </c>
      <c r="R8" s="69" t="s">
        <v>36</v>
      </c>
      <c r="S8" s="182" t="s">
        <v>37</v>
      </c>
      <c r="T8" s="69" t="s">
        <v>38</v>
      </c>
      <c r="U8" s="69" t="s">
        <v>48</v>
      </c>
      <c r="V8" s="176"/>
      <c r="W8" s="176"/>
    </row>
    <row r="9" s="40" customFormat="1" ht="31.5" customHeight="1" spans="1:23">
      <c r="A9" s="166"/>
      <c r="B9" s="174"/>
      <c r="C9" s="166">
        <v>8</v>
      </c>
      <c r="D9" s="166" t="s">
        <v>49</v>
      </c>
      <c r="E9" s="186">
        <v>1898.52</v>
      </c>
      <c r="F9" s="186">
        <v>1898.52</v>
      </c>
      <c r="G9" s="173">
        <v>109</v>
      </c>
      <c r="H9" s="171">
        <v>0.5</v>
      </c>
      <c r="I9" s="166">
        <f>ROUND(G9*H9,2)</f>
        <v>54.5</v>
      </c>
      <c r="J9" s="183">
        <f>ROUND(I9*E9,2)</f>
        <v>103469.34</v>
      </c>
      <c r="K9" s="183">
        <v>103469.34</v>
      </c>
      <c r="L9" s="183">
        <v>103469.34</v>
      </c>
      <c r="M9" s="186" t="s">
        <v>33</v>
      </c>
      <c r="N9" s="186" t="s">
        <v>33</v>
      </c>
      <c r="O9" s="13" t="s">
        <v>34</v>
      </c>
      <c r="P9" s="13" t="s">
        <v>50</v>
      </c>
      <c r="Q9" s="13" t="s">
        <v>51</v>
      </c>
      <c r="R9" s="13" t="s">
        <v>36</v>
      </c>
      <c r="S9" s="184" t="s">
        <v>37</v>
      </c>
      <c r="T9" s="13" t="s">
        <v>52</v>
      </c>
      <c r="U9" s="13" t="s">
        <v>39</v>
      </c>
      <c r="V9" s="166"/>
      <c r="W9" s="13" t="s">
        <v>53</v>
      </c>
    </row>
    <row r="10" ht="21" customHeight="1" spans="1:23">
      <c r="A10" s="166"/>
      <c r="B10" s="174"/>
      <c r="C10" s="166">
        <v>9</v>
      </c>
      <c r="D10" s="166" t="s">
        <v>54</v>
      </c>
      <c r="E10" s="168">
        <v>1898.52</v>
      </c>
      <c r="F10" s="183">
        <v>1898.52</v>
      </c>
      <c r="G10" s="173">
        <v>120</v>
      </c>
      <c r="H10" s="171">
        <v>0.7</v>
      </c>
      <c r="I10" s="166">
        <v>84</v>
      </c>
      <c r="J10" s="187">
        <v>478427.04</v>
      </c>
      <c r="K10" s="188">
        <v>492779.85</v>
      </c>
      <c r="L10" s="188">
        <v>507563.25</v>
      </c>
      <c r="M10" s="188">
        <v>522790.15</v>
      </c>
      <c r="N10" s="188">
        <v>538473.85</v>
      </c>
      <c r="O10" s="189" t="s">
        <v>55</v>
      </c>
      <c r="P10" s="190" t="s">
        <v>56</v>
      </c>
      <c r="Q10" s="190" t="s">
        <v>57</v>
      </c>
      <c r="R10" s="189">
        <v>5</v>
      </c>
      <c r="S10" s="191">
        <v>0.03</v>
      </c>
      <c r="T10" s="166" t="s">
        <v>58</v>
      </c>
      <c r="U10" s="166" t="s">
        <v>30</v>
      </c>
      <c r="V10" s="166" t="s">
        <v>59</v>
      </c>
      <c r="W10" s="166"/>
    </row>
    <row r="11" ht="21" customHeight="1" spans="1:23">
      <c r="A11" s="166"/>
      <c r="B11" s="174"/>
      <c r="C11" s="166">
        <v>10</v>
      </c>
      <c r="D11" s="13" t="s">
        <v>54</v>
      </c>
      <c r="E11" s="168">
        <v>1898.52</v>
      </c>
      <c r="F11" s="183">
        <v>1898.52</v>
      </c>
      <c r="G11" s="173">
        <v>120</v>
      </c>
      <c r="H11" s="171">
        <v>0.7</v>
      </c>
      <c r="I11" s="166">
        <v>84</v>
      </c>
      <c r="J11" s="187"/>
      <c r="K11" s="192"/>
      <c r="L11" s="192"/>
      <c r="M11" s="192"/>
      <c r="N11" s="192"/>
      <c r="O11" s="189"/>
      <c r="P11" s="189"/>
      <c r="Q11" s="189"/>
      <c r="R11" s="189"/>
      <c r="S11" s="191"/>
      <c r="T11" s="166"/>
      <c r="U11" s="166"/>
      <c r="V11" s="166"/>
      <c r="W11" s="166"/>
    </row>
    <row r="12" ht="21" customHeight="1" spans="1:23">
      <c r="A12" s="166"/>
      <c r="B12" s="174"/>
      <c r="C12" s="166">
        <v>11</v>
      </c>
      <c r="D12" s="13" t="s">
        <v>54</v>
      </c>
      <c r="E12" s="168">
        <v>1898.52</v>
      </c>
      <c r="F12" s="183">
        <v>1898.52</v>
      </c>
      <c r="G12" s="173">
        <v>120</v>
      </c>
      <c r="H12" s="171">
        <v>0.7</v>
      </c>
      <c r="I12" s="166">
        <v>84</v>
      </c>
      <c r="J12" s="187"/>
      <c r="K12" s="193"/>
      <c r="L12" s="193"/>
      <c r="M12" s="193"/>
      <c r="N12" s="193"/>
      <c r="O12" s="189"/>
      <c r="P12" s="189"/>
      <c r="Q12" s="189"/>
      <c r="R12" s="189"/>
      <c r="S12" s="191"/>
      <c r="T12" s="166"/>
      <c r="U12" s="166"/>
      <c r="V12" s="166"/>
      <c r="W12" s="166"/>
    </row>
    <row r="13" s="40" customFormat="1" ht="21" customHeight="1" spans="1:23">
      <c r="A13" s="166"/>
      <c r="B13" s="174"/>
      <c r="C13" s="166">
        <v>12</v>
      </c>
      <c r="D13" s="166" t="s">
        <v>60</v>
      </c>
      <c r="E13" s="168">
        <v>1898.52</v>
      </c>
      <c r="F13" s="183">
        <v>1898.52</v>
      </c>
      <c r="G13" s="173">
        <v>109</v>
      </c>
      <c r="H13" s="171">
        <v>0.3</v>
      </c>
      <c r="I13" s="166">
        <f>ROUND(G13*H13,2)</f>
        <v>32.7</v>
      </c>
      <c r="J13" s="183">
        <f>ROUND(I13*E13,2)</f>
        <v>62081.6</v>
      </c>
      <c r="K13" s="194">
        <f>J13+J14</f>
        <v>124732.76</v>
      </c>
      <c r="L13" s="194">
        <v>124732.76</v>
      </c>
      <c r="M13" s="194">
        <v>124732.76</v>
      </c>
      <c r="N13" s="194">
        <v>124732.76</v>
      </c>
      <c r="O13" s="13" t="s">
        <v>61</v>
      </c>
      <c r="P13" s="13" t="s">
        <v>62</v>
      </c>
      <c r="Q13" s="166">
        <v>5</v>
      </c>
      <c r="R13" s="13" t="s">
        <v>36</v>
      </c>
      <c r="S13" s="184" t="s">
        <v>37</v>
      </c>
      <c r="T13" s="13" t="s">
        <v>38</v>
      </c>
      <c r="U13" s="13" t="s">
        <v>63</v>
      </c>
      <c r="V13" s="166"/>
      <c r="W13" s="166"/>
    </row>
    <row r="14" s="40" customFormat="1" ht="21" customHeight="1" spans="1:23">
      <c r="A14" s="166"/>
      <c r="B14" s="174"/>
      <c r="C14" s="166">
        <v>13</v>
      </c>
      <c r="D14" s="13" t="s">
        <v>60</v>
      </c>
      <c r="E14" s="168">
        <v>1898.52</v>
      </c>
      <c r="F14" s="183">
        <v>1898.52</v>
      </c>
      <c r="G14" s="173">
        <v>110</v>
      </c>
      <c r="H14" s="171">
        <v>0.3</v>
      </c>
      <c r="I14" s="166">
        <f>ROUND(G14*H14,2)</f>
        <v>33</v>
      </c>
      <c r="J14" s="183">
        <f>ROUND(I14*E14,2)</f>
        <v>62651.16</v>
      </c>
      <c r="K14" s="195"/>
      <c r="L14" s="195"/>
      <c r="M14" s="195"/>
      <c r="N14" s="195"/>
      <c r="O14" s="166"/>
      <c r="P14" s="166"/>
      <c r="Q14" s="166"/>
      <c r="R14" s="166"/>
      <c r="S14" s="171"/>
      <c r="T14" s="166"/>
      <c r="U14" s="166"/>
      <c r="V14" s="166"/>
      <c r="W14" s="166"/>
    </row>
    <row r="15" ht="21" customHeight="1" spans="1:23">
      <c r="A15" s="166"/>
      <c r="B15" s="174"/>
      <c r="C15" s="166">
        <v>15</v>
      </c>
      <c r="D15" s="166" t="s">
        <v>64</v>
      </c>
      <c r="E15" s="168">
        <v>1849.94</v>
      </c>
      <c r="F15" s="183">
        <v>1849.94</v>
      </c>
      <c r="G15" s="173">
        <v>124</v>
      </c>
      <c r="H15" s="171">
        <v>0.5</v>
      </c>
      <c r="I15" s="166">
        <v>62</v>
      </c>
      <c r="J15" s="187">
        <v>114696.28</v>
      </c>
      <c r="K15" s="187">
        <v>118137.17</v>
      </c>
      <c r="L15" s="187">
        <v>121681.29</v>
      </c>
      <c r="M15" s="187">
        <v>125331.73</v>
      </c>
      <c r="N15" s="187">
        <v>129091.68</v>
      </c>
      <c r="O15" s="189" t="s">
        <v>65</v>
      </c>
      <c r="P15" s="189" t="s">
        <v>66</v>
      </c>
      <c r="Q15" s="189">
        <v>5</v>
      </c>
      <c r="R15" s="189">
        <v>3</v>
      </c>
      <c r="S15" s="191">
        <v>0.03</v>
      </c>
      <c r="T15" s="166" t="s">
        <v>58</v>
      </c>
      <c r="U15" s="166" t="s">
        <v>67</v>
      </c>
      <c r="V15" s="166" t="s">
        <v>59</v>
      </c>
      <c r="W15" s="166"/>
    </row>
    <row r="16" ht="21" customHeight="1" spans="1:23">
      <c r="A16" s="166"/>
      <c r="B16" s="174"/>
      <c r="C16" s="166">
        <v>16</v>
      </c>
      <c r="D16" s="166" t="s">
        <v>68</v>
      </c>
      <c r="E16" s="168">
        <v>1970.33</v>
      </c>
      <c r="F16" s="183">
        <v>1970.33</v>
      </c>
      <c r="G16" s="173">
        <v>126</v>
      </c>
      <c r="H16" s="171">
        <v>0.4</v>
      </c>
      <c r="I16" s="166">
        <v>50.4</v>
      </c>
      <c r="J16" s="187">
        <v>99304.63</v>
      </c>
      <c r="K16" s="187">
        <v>102283.77</v>
      </c>
      <c r="L16" s="187">
        <v>105352.28</v>
      </c>
      <c r="M16" s="196" t="s">
        <v>33</v>
      </c>
      <c r="N16" s="196" t="s">
        <v>33</v>
      </c>
      <c r="O16" s="189" t="s">
        <v>69</v>
      </c>
      <c r="P16" s="189" t="s">
        <v>70</v>
      </c>
      <c r="Q16" s="189">
        <v>3</v>
      </c>
      <c r="R16" s="189">
        <v>3</v>
      </c>
      <c r="S16" s="191">
        <v>0.03</v>
      </c>
      <c r="T16" s="166" t="s">
        <v>38</v>
      </c>
      <c r="U16" s="166" t="s">
        <v>71</v>
      </c>
      <c r="V16" s="166"/>
      <c r="W16" s="166"/>
    </row>
    <row r="17" s="40" customFormat="1" ht="21" customHeight="1" spans="1:23">
      <c r="A17" s="166"/>
      <c r="B17" s="174"/>
      <c r="C17" s="13">
        <v>17</v>
      </c>
      <c r="D17" s="13" t="s">
        <v>72</v>
      </c>
      <c r="E17" s="167">
        <v>1970.33</v>
      </c>
      <c r="F17" s="186">
        <v>1970.33</v>
      </c>
      <c r="G17" s="170">
        <v>114</v>
      </c>
      <c r="H17" s="184">
        <v>0.5</v>
      </c>
      <c r="I17" s="13">
        <f>ROUND(G17*H17,2)</f>
        <v>57</v>
      </c>
      <c r="J17" s="13">
        <f>ROUND(I17*E17,2)</f>
        <v>112308.81</v>
      </c>
      <c r="K17" s="13">
        <v>112308.81</v>
      </c>
      <c r="L17" s="13">
        <v>112308.81</v>
      </c>
      <c r="M17" s="13">
        <v>112308.81</v>
      </c>
      <c r="N17" s="13">
        <v>112308.81</v>
      </c>
      <c r="O17" s="13" t="s">
        <v>73</v>
      </c>
      <c r="P17" s="13" t="s">
        <v>74</v>
      </c>
      <c r="Q17" s="13">
        <v>5</v>
      </c>
      <c r="R17" s="13">
        <v>3</v>
      </c>
      <c r="S17" s="13" t="s">
        <v>37</v>
      </c>
      <c r="T17" s="13" t="s">
        <v>38</v>
      </c>
      <c r="U17" s="13" t="s">
        <v>75</v>
      </c>
      <c r="V17" s="166"/>
      <c r="W17" s="166"/>
    </row>
    <row r="18" ht="21" customHeight="1" spans="1:23">
      <c r="A18" s="166"/>
      <c r="B18" s="174"/>
      <c r="C18" s="166">
        <v>18</v>
      </c>
      <c r="D18" s="166" t="s">
        <v>76</v>
      </c>
      <c r="E18" s="168">
        <v>1970.33</v>
      </c>
      <c r="F18" s="183">
        <v>1970.33</v>
      </c>
      <c r="G18" s="173">
        <v>110</v>
      </c>
      <c r="H18" s="171">
        <v>0.3</v>
      </c>
      <c r="I18" s="166">
        <v>33</v>
      </c>
      <c r="J18" s="187">
        <f>ROUND(E18*I18,2)</f>
        <v>65020.89</v>
      </c>
      <c r="K18" s="187">
        <v>65020.89</v>
      </c>
      <c r="L18" s="187">
        <v>65020.89</v>
      </c>
      <c r="M18" s="196" t="s">
        <v>33</v>
      </c>
      <c r="N18" s="196" t="s">
        <v>33</v>
      </c>
      <c r="O18" s="189" t="s">
        <v>77</v>
      </c>
      <c r="P18" s="189" t="s">
        <v>78</v>
      </c>
      <c r="Q18" s="189">
        <v>3</v>
      </c>
      <c r="R18" s="190" t="s">
        <v>36</v>
      </c>
      <c r="S18" s="189" t="s">
        <v>37</v>
      </c>
      <c r="T18" s="13" t="s">
        <v>38</v>
      </c>
      <c r="U18" s="197" t="s">
        <v>79</v>
      </c>
      <c r="V18" s="166"/>
      <c r="W18" s="166"/>
    </row>
    <row r="19" ht="21" customHeight="1" spans="1:23">
      <c r="A19" s="166"/>
      <c r="B19" s="174"/>
      <c r="C19" s="166">
        <v>19</v>
      </c>
      <c r="D19" s="13" t="s">
        <v>76</v>
      </c>
      <c r="E19" s="168">
        <v>1970.33</v>
      </c>
      <c r="F19" s="183">
        <v>1970.33</v>
      </c>
      <c r="G19" s="173">
        <v>110</v>
      </c>
      <c r="H19" s="171">
        <v>0.3</v>
      </c>
      <c r="I19" s="166">
        <v>33</v>
      </c>
      <c r="J19" s="187">
        <v>65020.89</v>
      </c>
      <c r="K19" s="187">
        <v>65020.89</v>
      </c>
      <c r="L19" s="187">
        <v>65020.89</v>
      </c>
      <c r="M19" s="196" t="s">
        <v>33</v>
      </c>
      <c r="N19" s="187" t="s">
        <v>33</v>
      </c>
      <c r="O19" s="189"/>
      <c r="P19" s="189"/>
      <c r="Q19" s="189"/>
      <c r="R19" s="189"/>
      <c r="S19" s="189"/>
      <c r="T19" s="166"/>
      <c r="U19" s="198"/>
      <c r="V19" s="166"/>
      <c r="W19" s="166"/>
    </row>
    <row r="20" ht="21" customHeight="1" spans="1:23">
      <c r="A20" s="166"/>
      <c r="B20" s="174"/>
      <c r="C20" s="166">
        <v>20</v>
      </c>
      <c r="D20" s="13" t="s">
        <v>76</v>
      </c>
      <c r="E20" s="168">
        <v>1970.33</v>
      </c>
      <c r="F20" s="183">
        <v>1970.33</v>
      </c>
      <c r="G20" s="173">
        <v>110</v>
      </c>
      <c r="H20" s="171">
        <v>0.3</v>
      </c>
      <c r="I20" s="166">
        <v>33</v>
      </c>
      <c r="J20" s="187">
        <v>65020.89</v>
      </c>
      <c r="K20" s="187">
        <v>65020.89</v>
      </c>
      <c r="L20" s="187">
        <v>65020.89</v>
      </c>
      <c r="M20" s="196" t="s">
        <v>33</v>
      </c>
      <c r="N20" s="187" t="s">
        <v>33</v>
      </c>
      <c r="O20" s="189"/>
      <c r="P20" s="189"/>
      <c r="Q20" s="189"/>
      <c r="R20" s="189"/>
      <c r="S20" s="189"/>
      <c r="T20" s="166"/>
      <c r="U20" s="46" t="s">
        <v>80</v>
      </c>
      <c r="V20" s="166"/>
      <c r="W20" s="166"/>
    </row>
    <row r="21" ht="21" customHeight="1" spans="1:23">
      <c r="A21" s="166"/>
      <c r="B21" s="174"/>
      <c r="C21" s="166">
        <v>21</v>
      </c>
      <c r="D21" s="13" t="s">
        <v>76</v>
      </c>
      <c r="E21" s="168">
        <v>1970.33</v>
      </c>
      <c r="F21" s="183">
        <v>1970.33</v>
      </c>
      <c r="G21" s="173">
        <v>110</v>
      </c>
      <c r="H21" s="171">
        <v>0.3</v>
      </c>
      <c r="I21" s="166">
        <v>33</v>
      </c>
      <c r="J21" s="187">
        <v>65020.89</v>
      </c>
      <c r="K21" s="187">
        <v>65020.89</v>
      </c>
      <c r="L21" s="187">
        <v>65020.89</v>
      </c>
      <c r="M21" s="196" t="s">
        <v>33</v>
      </c>
      <c r="N21" s="187" t="s">
        <v>33</v>
      </c>
      <c r="O21" s="189"/>
      <c r="P21" s="189"/>
      <c r="Q21" s="189"/>
      <c r="R21" s="189"/>
      <c r="S21" s="189"/>
      <c r="T21" s="166"/>
      <c r="U21" s="174"/>
      <c r="V21" s="166"/>
      <c r="W21" s="166"/>
    </row>
    <row r="22" ht="21" customHeight="1" spans="1:23">
      <c r="A22" s="166"/>
      <c r="B22" s="174"/>
      <c r="C22" s="166">
        <v>22</v>
      </c>
      <c r="D22" s="13" t="s">
        <v>76</v>
      </c>
      <c r="E22" s="168">
        <v>1970.33</v>
      </c>
      <c r="F22" s="183">
        <v>1970.33</v>
      </c>
      <c r="G22" s="173">
        <v>110</v>
      </c>
      <c r="H22" s="171">
        <v>0.3</v>
      </c>
      <c r="I22" s="166">
        <v>33</v>
      </c>
      <c r="J22" s="187">
        <v>65020.89</v>
      </c>
      <c r="K22" s="187">
        <v>65020.89</v>
      </c>
      <c r="L22" s="187">
        <v>65020.89</v>
      </c>
      <c r="M22" s="196" t="s">
        <v>33</v>
      </c>
      <c r="N22" s="187" t="s">
        <v>33</v>
      </c>
      <c r="O22" s="189"/>
      <c r="P22" s="189"/>
      <c r="Q22" s="189"/>
      <c r="R22" s="189"/>
      <c r="S22" s="189"/>
      <c r="T22" s="166"/>
      <c r="U22" s="198"/>
      <c r="V22" s="166"/>
      <c r="W22" s="166"/>
    </row>
    <row r="23" s="40" customFormat="1" ht="28.5" customHeight="1" spans="1:23">
      <c r="A23" s="166"/>
      <c r="B23" s="174"/>
      <c r="C23" s="166">
        <v>23</v>
      </c>
      <c r="D23" s="166" t="s">
        <v>72</v>
      </c>
      <c r="E23" s="168">
        <v>1970.33</v>
      </c>
      <c r="F23" s="183">
        <v>1970.33</v>
      </c>
      <c r="G23" s="173">
        <v>136</v>
      </c>
      <c r="H23" s="171">
        <v>0.5</v>
      </c>
      <c r="I23" s="166">
        <v>68</v>
      </c>
      <c r="J23" s="183">
        <v>133982.44</v>
      </c>
      <c r="K23" s="183">
        <v>142338.09</v>
      </c>
      <c r="L23" s="183">
        <v>142141.97</v>
      </c>
      <c r="M23" s="183">
        <v>226525.48</v>
      </c>
      <c r="N23" s="183">
        <v>301596.83</v>
      </c>
      <c r="O23" s="166" t="s">
        <v>81</v>
      </c>
      <c r="P23" s="166" t="s">
        <v>82</v>
      </c>
      <c r="Q23" s="166">
        <v>5</v>
      </c>
      <c r="R23" s="166">
        <v>3</v>
      </c>
      <c r="S23" s="171">
        <v>0.03</v>
      </c>
      <c r="T23" s="13" t="s">
        <v>38</v>
      </c>
      <c r="U23" s="13" t="s">
        <v>83</v>
      </c>
      <c r="V23" s="166"/>
      <c r="W23" s="166"/>
    </row>
    <row r="24" s="40" customFormat="1" ht="21" customHeight="1" spans="1:23">
      <c r="A24" s="166"/>
      <c r="B24" s="174"/>
      <c r="C24" s="166">
        <v>24</v>
      </c>
      <c r="D24" s="166" t="s">
        <v>72</v>
      </c>
      <c r="E24" s="168">
        <v>1970.33</v>
      </c>
      <c r="F24" s="183">
        <v>1970.33</v>
      </c>
      <c r="G24" s="173">
        <v>121</v>
      </c>
      <c r="H24" s="171">
        <v>0.3</v>
      </c>
      <c r="I24" s="166">
        <f>ROUND(G24*H24,2)</f>
        <v>36.3</v>
      </c>
      <c r="J24" s="183">
        <f>ROUND(I24*E24,2)</f>
        <v>71522.98</v>
      </c>
      <c r="K24" s="194">
        <f>J24+J25</f>
        <v>143637.06</v>
      </c>
      <c r="L24" s="194">
        <v>143637.06</v>
      </c>
      <c r="M24" s="194">
        <v>143637.06</v>
      </c>
      <c r="N24" s="194">
        <v>143637.06</v>
      </c>
      <c r="O24" s="13" t="s">
        <v>34</v>
      </c>
      <c r="P24" s="13" t="s">
        <v>84</v>
      </c>
      <c r="Q24" s="166">
        <v>5</v>
      </c>
      <c r="R24" s="13" t="s">
        <v>36</v>
      </c>
      <c r="S24" s="184" t="s">
        <v>37</v>
      </c>
      <c r="T24" s="13" t="s">
        <v>38</v>
      </c>
      <c r="U24" s="13" t="s">
        <v>63</v>
      </c>
      <c r="V24" s="166"/>
      <c r="W24" s="166"/>
    </row>
    <row r="25" s="40" customFormat="1" ht="21" customHeight="1" spans="1:23">
      <c r="A25" s="166"/>
      <c r="B25" s="174"/>
      <c r="C25" s="166">
        <v>25</v>
      </c>
      <c r="D25" s="13" t="s">
        <v>72</v>
      </c>
      <c r="E25" s="168">
        <v>1970.33</v>
      </c>
      <c r="F25" s="183">
        <v>1970.33</v>
      </c>
      <c r="G25" s="173">
        <v>122</v>
      </c>
      <c r="H25" s="171">
        <v>0.3</v>
      </c>
      <c r="I25" s="166">
        <f>ROUND(G25*H25,2)</f>
        <v>36.6</v>
      </c>
      <c r="J25" s="183">
        <f>ROUND(I25*E25,2)</f>
        <v>72114.08</v>
      </c>
      <c r="K25" s="195"/>
      <c r="L25" s="195"/>
      <c r="M25" s="195"/>
      <c r="N25" s="195"/>
      <c r="O25" s="166"/>
      <c r="P25" s="166"/>
      <c r="Q25" s="166"/>
      <c r="R25" s="166"/>
      <c r="S25" s="171"/>
      <c r="T25" s="166"/>
      <c r="U25" s="166"/>
      <c r="V25" s="166"/>
      <c r="W25" s="166"/>
    </row>
    <row r="26" ht="21" customHeight="1" spans="1:23">
      <c r="A26" s="166"/>
      <c r="B26" s="174"/>
      <c r="C26" s="166">
        <v>27</v>
      </c>
      <c r="D26" s="166" t="s">
        <v>76</v>
      </c>
      <c r="E26" s="168">
        <v>1975.34</v>
      </c>
      <c r="F26" s="183">
        <v>1975.34</v>
      </c>
      <c r="G26" s="173">
        <v>110</v>
      </c>
      <c r="H26" s="171">
        <v>0.3</v>
      </c>
      <c r="I26" s="166">
        <v>33</v>
      </c>
      <c r="J26" s="187">
        <v>65186.22</v>
      </c>
      <c r="K26" s="187">
        <v>65186.22</v>
      </c>
      <c r="L26" s="187">
        <v>65186.22</v>
      </c>
      <c r="M26" s="187">
        <v>65186.22</v>
      </c>
      <c r="N26" s="187">
        <v>65186.22</v>
      </c>
      <c r="O26" s="189" t="s">
        <v>77</v>
      </c>
      <c r="P26" s="189" t="s">
        <v>78</v>
      </c>
      <c r="Q26" s="189">
        <v>3</v>
      </c>
      <c r="R26" s="190" t="s">
        <v>36</v>
      </c>
      <c r="S26" s="189" t="s">
        <v>37</v>
      </c>
      <c r="T26" s="166" t="s">
        <v>85</v>
      </c>
      <c r="U26" s="166" t="s">
        <v>86</v>
      </c>
      <c r="V26" s="166" t="s">
        <v>59</v>
      </c>
      <c r="W26" s="166"/>
    </row>
    <row r="27" ht="21" customHeight="1" spans="1:23">
      <c r="A27" s="166"/>
      <c r="B27" s="174"/>
      <c r="C27" s="166">
        <v>28</v>
      </c>
      <c r="D27" s="13" t="s">
        <v>76</v>
      </c>
      <c r="E27" s="168">
        <v>2026.49</v>
      </c>
      <c r="F27" s="183">
        <v>2026.49</v>
      </c>
      <c r="G27" s="173">
        <v>110</v>
      </c>
      <c r="H27" s="171">
        <v>0.3</v>
      </c>
      <c r="I27" s="166">
        <v>33</v>
      </c>
      <c r="J27" s="187">
        <v>66874.17</v>
      </c>
      <c r="K27" s="187">
        <v>66874.17</v>
      </c>
      <c r="L27" s="187">
        <v>66874.17</v>
      </c>
      <c r="M27" s="187">
        <v>66874.17</v>
      </c>
      <c r="N27" s="187">
        <v>66874.17</v>
      </c>
      <c r="O27" s="189"/>
      <c r="P27" s="189"/>
      <c r="Q27" s="189"/>
      <c r="R27" s="189"/>
      <c r="S27" s="189"/>
      <c r="T27" s="166"/>
      <c r="U27" s="166"/>
      <c r="V27" s="166"/>
      <c r="W27" s="166"/>
    </row>
    <row r="28" ht="21" customHeight="1" spans="1:23">
      <c r="A28" s="166"/>
      <c r="B28" s="174"/>
      <c r="C28" s="166">
        <v>29</v>
      </c>
      <c r="D28" s="13" t="s">
        <v>76</v>
      </c>
      <c r="E28" s="168">
        <v>2026.49</v>
      </c>
      <c r="F28" s="183">
        <v>2026.49</v>
      </c>
      <c r="G28" s="173">
        <v>110</v>
      </c>
      <c r="H28" s="171">
        <v>0.3</v>
      </c>
      <c r="I28" s="166">
        <v>33</v>
      </c>
      <c r="J28" s="187">
        <v>66874.17</v>
      </c>
      <c r="K28" s="187">
        <v>66874.17</v>
      </c>
      <c r="L28" s="187">
        <v>66874.17</v>
      </c>
      <c r="M28" s="187">
        <v>66874.17</v>
      </c>
      <c r="N28" s="187">
        <v>66874.17</v>
      </c>
      <c r="O28" s="189"/>
      <c r="P28" s="189"/>
      <c r="Q28" s="189"/>
      <c r="R28" s="189"/>
      <c r="S28" s="189"/>
      <c r="T28" s="166"/>
      <c r="U28" s="166"/>
      <c r="V28" s="166"/>
      <c r="W28" s="166"/>
    </row>
    <row r="29" s="40" customFormat="1" ht="21" customHeight="1" spans="1:23">
      <c r="A29" s="166"/>
      <c r="B29" s="174"/>
      <c r="C29" s="166">
        <v>30</v>
      </c>
      <c r="D29" s="166" t="s">
        <v>87</v>
      </c>
      <c r="E29" s="168">
        <v>2026.49</v>
      </c>
      <c r="F29" s="183">
        <v>2026.49</v>
      </c>
      <c r="G29" s="173">
        <v>131</v>
      </c>
      <c r="H29" s="171">
        <v>0.3</v>
      </c>
      <c r="I29" s="166">
        <v>39.3</v>
      </c>
      <c r="J29" s="183">
        <f>ROUND(I29*E29,2)</f>
        <v>79641.06</v>
      </c>
      <c r="K29" s="183">
        <v>79641.06</v>
      </c>
      <c r="L29" s="183">
        <v>79641.06</v>
      </c>
      <c r="M29" s="183">
        <v>79641.06</v>
      </c>
      <c r="N29" s="183">
        <v>79641.06</v>
      </c>
      <c r="O29" s="13" t="s">
        <v>34</v>
      </c>
      <c r="P29" s="13" t="s">
        <v>84</v>
      </c>
      <c r="Q29" s="166">
        <v>5</v>
      </c>
      <c r="R29" s="166">
        <v>0</v>
      </c>
      <c r="S29" s="184" t="s">
        <v>37</v>
      </c>
      <c r="T29" s="13" t="s">
        <v>38</v>
      </c>
      <c r="U29" s="199" t="s">
        <v>88</v>
      </c>
      <c r="V29" s="166"/>
      <c r="W29" s="166"/>
    </row>
    <row r="30" ht="21" customHeight="1" spans="1:23">
      <c r="A30" s="166"/>
      <c r="B30" s="174"/>
      <c r="C30" s="166">
        <v>31</v>
      </c>
      <c r="D30" s="166" t="s">
        <v>76</v>
      </c>
      <c r="E30" s="168">
        <v>2026.49</v>
      </c>
      <c r="F30" s="183">
        <v>2026.49</v>
      </c>
      <c r="G30" s="173">
        <v>110</v>
      </c>
      <c r="H30" s="171">
        <v>0.3</v>
      </c>
      <c r="I30" s="166">
        <v>33</v>
      </c>
      <c r="J30" s="187">
        <v>66874.17</v>
      </c>
      <c r="K30" s="187">
        <v>66874.17</v>
      </c>
      <c r="L30" s="187">
        <v>66874.17</v>
      </c>
      <c r="M30" s="187">
        <v>66874.17</v>
      </c>
      <c r="N30" s="187">
        <v>66874.17</v>
      </c>
      <c r="O30" s="189" t="s">
        <v>77</v>
      </c>
      <c r="P30" s="189" t="s">
        <v>78</v>
      </c>
      <c r="Q30" s="189">
        <v>3</v>
      </c>
      <c r="R30" s="190" t="s">
        <v>36</v>
      </c>
      <c r="S30" s="189" t="s">
        <v>37</v>
      </c>
      <c r="T30" s="166" t="s">
        <v>85</v>
      </c>
      <c r="U30" s="166" t="s">
        <v>89</v>
      </c>
      <c r="V30" s="166"/>
      <c r="W30" s="166"/>
    </row>
    <row r="31" ht="21" customHeight="1" spans="1:23">
      <c r="A31" s="166"/>
      <c r="B31" s="174"/>
      <c r="C31" s="166">
        <v>32</v>
      </c>
      <c r="D31" s="166" t="s">
        <v>76</v>
      </c>
      <c r="E31" s="168">
        <v>2026.49</v>
      </c>
      <c r="F31" s="183">
        <v>2026.49</v>
      </c>
      <c r="G31" s="173">
        <v>110</v>
      </c>
      <c r="H31" s="171">
        <v>0.3</v>
      </c>
      <c r="I31" s="166">
        <v>33</v>
      </c>
      <c r="J31" s="187">
        <v>66874.17</v>
      </c>
      <c r="K31" s="187">
        <v>66874.17</v>
      </c>
      <c r="L31" s="187">
        <v>66874.17</v>
      </c>
      <c r="M31" s="187">
        <v>66874.17</v>
      </c>
      <c r="N31" s="187">
        <v>66874.17</v>
      </c>
      <c r="O31" s="189"/>
      <c r="P31" s="189"/>
      <c r="Q31" s="189"/>
      <c r="R31" s="189"/>
      <c r="S31" s="189"/>
      <c r="T31" s="166"/>
      <c r="U31" s="166"/>
      <c r="V31" s="166"/>
      <c r="W31" s="166"/>
    </row>
    <row r="32" ht="21" customHeight="1" spans="1:23">
      <c r="A32" s="166"/>
      <c r="B32" s="174"/>
      <c r="C32" s="166">
        <v>33</v>
      </c>
      <c r="D32" s="166" t="s">
        <v>76</v>
      </c>
      <c r="E32" s="168">
        <v>2026.49</v>
      </c>
      <c r="F32" s="183">
        <v>2026.49</v>
      </c>
      <c r="G32" s="173">
        <v>110</v>
      </c>
      <c r="H32" s="171">
        <v>0.3</v>
      </c>
      <c r="I32" s="166">
        <v>33</v>
      </c>
      <c r="J32" s="187">
        <v>66874.17</v>
      </c>
      <c r="K32" s="187">
        <v>66874.17</v>
      </c>
      <c r="L32" s="187">
        <v>66874.17</v>
      </c>
      <c r="M32" s="187">
        <v>66874.17</v>
      </c>
      <c r="N32" s="187">
        <v>66874.17</v>
      </c>
      <c r="O32" s="189"/>
      <c r="P32" s="189"/>
      <c r="Q32" s="189"/>
      <c r="R32" s="189"/>
      <c r="S32" s="189"/>
      <c r="T32" s="166"/>
      <c r="U32" s="166"/>
      <c r="V32" s="166"/>
      <c r="W32" s="166"/>
    </row>
    <row r="33" ht="21" customHeight="1" spans="1:23">
      <c r="A33" s="166"/>
      <c r="B33" s="174"/>
      <c r="C33" s="166">
        <v>34</v>
      </c>
      <c r="D33" s="166" t="s">
        <v>76</v>
      </c>
      <c r="E33" s="168">
        <v>2026.49</v>
      </c>
      <c r="F33" s="183">
        <v>2026.49</v>
      </c>
      <c r="G33" s="173">
        <v>110</v>
      </c>
      <c r="H33" s="171">
        <v>0.3</v>
      </c>
      <c r="I33" s="166">
        <v>33</v>
      </c>
      <c r="J33" s="187">
        <v>66874.17</v>
      </c>
      <c r="K33" s="187">
        <v>66874.17</v>
      </c>
      <c r="L33" s="187">
        <v>66874.17</v>
      </c>
      <c r="M33" s="187">
        <v>66874.17</v>
      </c>
      <c r="N33" s="187">
        <v>66874.17</v>
      </c>
      <c r="O33" s="189"/>
      <c r="P33" s="189"/>
      <c r="Q33" s="189"/>
      <c r="R33" s="189"/>
      <c r="S33" s="189"/>
      <c r="T33" s="166"/>
      <c r="U33" s="166"/>
      <c r="V33" s="166"/>
      <c r="W33" s="166"/>
    </row>
    <row r="34" ht="21" customHeight="1" spans="1:23">
      <c r="A34" s="166"/>
      <c r="B34" s="174"/>
      <c r="C34" s="166">
        <v>35</v>
      </c>
      <c r="D34" s="166" t="s">
        <v>76</v>
      </c>
      <c r="E34" s="168">
        <v>2026.49</v>
      </c>
      <c r="F34" s="183">
        <v>2026.49</v>
      </c>
      <c r="G34" s="173">
        <v>110</v>
      </c>
      <c r="H34" s="171">
        <v>0.3</v>
      </c>
      <c r="I34" s="166">
        <v>33</v>
      </c>
      <c r="J34" s="187">
        <v>66874.17</v>
      </c>
      <c r="K34" s="187">
        <v>66874.17</v>
      </c>
      <c r="L34" s="187">
        <v>66874.17</v>
      </c>
      <c r="M34" s="187">
        <v>66874.17</v>
      </c>
      <c r="N34" s="187">
        <v>66874.17</v>
      </c>
      <c r="O34" s="189"/>
      <c r="P34" s="189"/>
      <c r="Q34" s="189"/>
      <c r="R34" s="189"/>
      <c r="S34" s="189"/>
      <c r="T34" s="166"/>
      <c r="U34" s="166"/>
      <c r="V34" s="166"/>
      <c r="W34" s="166"/>
    </row>
    <row r="35" ht="21" customHeight="1" spans="1:23">
      <c r="A35" s="166"/>
      <c r="B35" s="174"/>
      <c r="C35" s="166">
        <v>36</v>
      </c>
      <c r="D35" s="166" t="s">
        <v>76</v>
      </c>
      <c r="E35" s="168">
        <v>2026.49</v>
      </c>
      <c r="F35" s="183">
        <v>2026.49</v>
      </c>
      <c r="G35" s="173">
        <v>110</v>
      </c>
      <c r="H35" s="171">
        <v>0.3</v>
      </c>
      <c r="I35" s="166">
        <v>33</v>
      </c>
      <c r="J35" s="187">
        <v>66874.17</v>
      </c>
      <c r="K35" s="187">
        <v>66874.17</v>
      </c>
      <c r="L35" s="187">
        <v>66874.17</v>
      </c>
      <c r="M35" s="187">
        <v>66874.17</v>
      </c>
      <c r="N35" s="187">
        <v>66874.17</v>
      </c>
      <c r="O35" s="189"/>
      <c r="P35" s="189"/>
      <c r="Q35" s="189"/>
      <c r="R35" s="189"/>
      <c r="S35" s="189"/>
      <c r="T35" s="166"/>
      <c r="U35" s="166"/>
      <c r="V35" s="166"/>
      <c r="W35" s="166"/>
    </row>
    <row r="36" ht="21" customHeight="1" spans="1:23">
      <c r="A36" s="166"/>
      <c r="B36" s="198"/>
      <c r="C36" s="166">
        <v>37</v>
      </c>
      <c r="D36" s="166" t="s">
        <v>76</v>
      </c>
      <c r="E36" s="168">
        <v>2026.49</v>
      </c>
      <c r="F36" s="183">
        <v>2026.49</v>
      </c>
      <c r="G36" s="173">
        <v>110</v>
      </c>
      <c r="H36" s="171">
        <v>0.3</v>
      </c>
      <c r="I36" s="166">
        <v>33</v>
      </c>
      <c r="J36" s="187">
        <v>66874.17</v>
      </c>
      <c r="K36" s="187">
        <v>66874.17</v>
      </c>
      <c r="L36" s="187">
        <v>66874.17</v>
      </c>
      <c r="M36" s="187">
        <v>66874.17</v>
      </c>
      <c r="N36" s="187">
        <v>66874.17</v>
      </c>
      <c r="O36" s="189"/>
      <c r="P36" s="189"/>
      <c r="Q36" s="189"/>
      <c r="R36" s="189"/>
      <c r="S36" s="189"/>
      <c r="T36" s="166"/>
      <c r="U36" s="166"/>
      <c r="V36" s="166"/>
      <c r="W36" s="166"/>
    </row>
    <row r="37" ht="21" customHeight="1" spans="1:23">
      <c r="A37" s="166"/>
      <c r="B37" s="13" t="s">
        <v>90</v>
      </c>
      <c r="C37" s="166">
        <v>3</v>
      </c>
      <c r="D37" s="166" t="s">
        <v>25</v>
      </c>
      <c r="E37" s="168"/>
      <c r="F37" s="166"/>
      <c r="G37" s="170" t="s">
        <v>26</v>
      </c>
      <c r="H37" s="171">
        <v>0.3</v>
      </c>
      <c r="I37" s="13" t="s">
        <v>27</v>
      </c>
      <c r="J37" s="168" t="s">
        <v>28</v>
      </c>
      <c r="K37" s="172"/>
      <c r="L37" s="172"/>
      <c r="M37" s="172"/>
      <c r="N37" s="172"/>
      <c r="O37" s="172"/>
      <c r="P37" s="172"/>
      <c r="Q37" s="172"/>
      <c r="R37" s="172"/>
      <c r="S37" s="173"/>
      <c r="T37" s="13" t="s">
        <v>29</v>
      </c>
      <c r="U37" s="166" t="s">
        <v>30</v>
      </c>
      <c r="V37" s="166" t="s">
        <v>31</v>
      </c>
      <c r="W37" s="166"/>
    </row>
    <row r="38" ht="21" customHeight="1" spans="1:23">
      <c r="A38" s="166"/>
      <c r="B38" s="166"/>
      <c r="C38" s="166">
        <v>4</v>
      </c>
      <c r="D38" s="13" t="s">
        <v>25</v>
      </c>
      <c r="E38" s="168"/>
      <c r="F38" s="166"/>
      <c r="G38" s="170" t="s">
        <v>26</v>
      </c>
      <c r="H38" s="171">
        <v>0.3</v>
      </c>
      <c r="I38" s="13" t="s">
        <v>27</v>
      </c>
      <c r="J38" s="167" t="s">
        <v>28</v>
      </c>
      <c r="K38" s="175"/>
      <c r="L38" s="175"/>
      <c r="M38" s="175"/>
      <c r="N38" s="175"/>
      <c r="O38" s="172"/>
      <c r="P38" s="172"/>
      <c r="Q38" s="172"/>
      <c r="R38" s="172"/>
      <c r="S38" s="173"/>
      <c r="T38" s="13" t="s">
        <v>29</v>
      </c>
      <c r="U38" s="166" t="s">
        <v>30</v>
      </c>
      <c r="V38" s="166"/>
      <c r="W38" s="166"/>
    </row>
    <row r="39" customFormat="1" ht="21" customHeight="1" spans="1:23">
      <c r="A39" s="166"/>
      <c r="B39" s="166"/>
      <c r="C39" s="166">
        <v>5</v>
      </c>
      <c r="D39" s="200" t="s">
        <v>91</v>
      </c>
      <c r="E39" s="85">
        <v>1903.04</v>
      </c>
      <c r="F39" s="85">
        <v>1903.04</v>
      </c>
      <c r="G39" s="170"/>
      <c r="H39" s="171"/>
      <c r="I39" s="13"/>
      <c r="J39" s="167"/>
      <c r="K39" s="175"/>
      <c r="L39" s="175"/>
      <c r="M39" s="175"/>
      <c r="N39" s="175"/>
      <c r="O39" s="201"/>
      <c r="P39" s="201"/>
      <c r="Q39" s="201"/>
      <c r="R39" s="201"/>
      <c r="S39" s="202"/>
      <c r="T39" s="46"/>
      <c r="U39" s="197"/>
      <c r="V39" s="168"/>
      <c r="W39" s="197"/>
    </row>
    <row r="40" s="40" customFormat="1" ht="28.5" customHeight="1" spans="1:23">
      <c r="A40" s="166"/>
      <c r="B40" s="166"/>
      <c r="C40" s="13">
        <v>7</v>
      </c>
      <c r="D40" s="13" t="s">
        <v>92</v>
      </c>
      <c r="E40" s="167">
        <v>1903.46</v>
      </c>
      <c r="F40" s="13">
        <v>1903.46</v>
      </c>
      <c r="G40" s="170">
        <v>109</v>
      </c>
      <c r="H40" s="184">
        <v>0.3</v>
      </c>
      <c r="I40" s="13">
        <f t="shared" ref="I40:I47" si="0">H40*G40</f>
        <v>32.7</v>
      </c>
      <c r="J40" s="186">
        <f t="shared" ref="J40:J47" si="1">ROUND(I40*E40,2)</f>
        <v>62243.14</v>
      </c>
      <c r="K40" s="186">
        <f>J40+J41</f>
        <v>124486.28</v>
      </c>
      <c r="L40" s="186">
        <v>124486.28</v>
      </c>
      <c r="M40" s="186">
        <v>124486.28</v>
      </c>
      <c r="N40" s="186">
        <v>124486.28</v>
      </c>
      <c r="O40" s="46" t="s">
        <v>93</v>
      </c>
      <c r="P40" s="46" t="s">
        <v>94</v>
      </c>
      <c r="Q40" s="46">
        <v>5</v>
      </c>
      <c r="R40" s="46">
        <v>4</v>
      </c>
      <c r="S40" s="203" t="s">
        <v>37</v>
      </c>
      <c r="T40" s="46" t="s">
        <v>38</v>
      </c>
      <c r="U40" s="46" t="s">
        <v>95</v>
      </c>
      <c r="V40" s="168"/>
      <c r="W40" s="46" t="s">
        <v>96</v>
      </c>
    </row>
    <row r="41" s="40" customFormat="1" ht="30" customHeight="1" spans="1:23">
      <c r="A41" s="166"/>
      <c r="B41" s="166"/>
      <c r="C41" s="13">
        <v>8</v>
      </c>
      <c r="D41" s="13" t="s">
        <v>92</v>
      </c>
      <c r="E41" s="167">
        <v>1903.46</v>
      </c>
      <c r="F41" s="13">
        <v>1903.46</v>
      </c>
      <c r="G41" s="170">
        <v>109</v>
      </c>
      <c r="H41" s="184">
        <v>0.3</v>
      </c>
      <c r="I41" s="13">
        <f t="shared" si="0"/>
        <v>32.7</v>
      </c>
      <c r="J41" s="186">
        <f t="shared" si="1"/>
        <v>62243.14</v>
      </c>
      <c r="K41" s="186"/>
      <c r="L41" s="186"/>
      <c r="M41" s="186"/>
      <c r="N41" s="186"/>
      <c r="O41" s="51"/>
      <c r="P41" s="51"/>
      <c r="Q41" s="51"/>
      <c r="R41" s="51"/>
      <c r="S41" s="204"/>
      <c r="T41" s="51"/>
      <c r="U41" s="51"/>
      <c r="V41" s="168"/>
      <c r="W41" s="51"/>
    </row>
    <row r="42" s="40" customFormat="1" ht="36.75" customHeight="1" spans="1:23">
      <c r="A42" s="166"/>
      <c r="B42" s="166"/>
      <c r="C42" s="13">
        <v>9</v>
      </c>
      <c r="D42" s="13" t="s">
        <v>97</v>
      </c>
      <c r="E42" s="167">
        <v>1903.46</v>
      </c>
      <c r="F42" s="13">
        <v>1903.46</v>
      </c>
      <c r="G42" s="170">
        <v>110</v>
      </c>
      <c r="H42" s="184">
        <v>0.3</v>
      </c>
      <c r="I42" s="13">
        <f t="shared" si="0"/>
        <v>33</v>
      </c>
      <c r="J42" s="205">
        <f t="shared" si="1"/>
        <v>62814.18</v>
      </c>
      <c r="K42" s="186">
        <v>62814.18</v>
      </c>
      <c r="L42" s="186">
        <v>62814.18</v>
      </c>
      <c r="M42" s="186" t="s">
        <v>33</v>
      </c>
      <c r="N42" s="186" t="s">
        <v>33</v>
      </c>
      <c r="O42" s="13" t="s">
        <v>98</v>
      </c>
      <c r="P42" s="13" t="s">
        <v>99</v>
      </c>
      <c r="Q42" s="13">
        <v>3</v>
      </c>
      <c r="R42" s="13">
        <v>3</v>
      </c>
      <c r="S42" s="184">
        <v>0.03</v>
      </c>
      <c r="T42" s="13" t="s">
        <v>38</v>
      </c>
      <c r="U42" s="13" t="s">
        <v>100</v>
      </c>
      <c r="V42" s="168"/>
      <c r="W42" s="13" t="s">
        <v>96</v>
      </c>
    </row>
    <row r="43" ht="21" customHeight="1" spans="1:23">
      <c r="A43" s="166"/>
      <c r="B43" s="166"/>
      <c r="C43" s="166">
        <v>6</v>
      </c>
      <c r="D43" s="13" t="s">
        <v>101</v>
      </c>
      <c r="E43" s="13">
        <v>1903.46</v>
      </c>
      <c r="F43" s="13">
        <v>1903.46</v>
      </c>
      <c r="G43" s="173">
        <v>108</v>
      </c>
      <c r="H43" s="171">
        <v>0.7</v>
      </c>
      <c r="I43" s="166">
        <f t="shared" si="0"/>
        <v>75.6</v>
      </c>
      <c r="J43" s="206">
        <f t="shared" si="1"/>
        <v>143901.58</v>
      </c>
      <c r="K43" s="206" t="s">
        <v>102</v>
      </c>
      <c r="L43" s="206" t="s">
        <v>102</v>
      </c>
      <c r="M43" s="206" t="s">
        <v>102</v>
      </c>
      <c r="N43" s="206" t="s">
        <v>102</v>
      </c>
      <c r="O43" s="46" t="s">
        <v>103</v>
      </c>
      <c r="P43" s="46" t="s">
        <v>33</v>
      </c>
      <c r="Q43" s="197">
        <v>1</v>
      </c>
      <c r="R43" s="46" t="s">
        <v>36</v>
      </c>
      <c r="S43" s="207"/>
      <c r="T43" s="197" t="s">
        <v>58</v>
      </c>
      <c r="U43" s="197" t="s">
        <v>30</v>
      </c>
      <c r="V43" s="168"/>
      <c r="W43" s="46" t="s">
        <v>104</v>
      </c>
    </row>
    <row r="44" ht="21" customHeight="1" spans="1:23">
      <c r="A44" s="166"/>
      <c r="B44" s="166"/>
      <c r="C44" s="166">
        <v>10</v>
      </c>
      <c r="D44" s="13" t="s">
        <v>101</v>
      </c>
      <c r="E44" s="13">
        <v>1903.46</v>
      </c>
      <c r="F44" s="13">
        <v>1903.46</v>
      </c>
      <c r="G44" s="173">
        <v>111</v>
      </c>
      <c r="H44" s="171">
        <v>0.7</v>
      </c>
      <c r="I44" s="166">
        <f t="shared" si="0"/>
        <v>77.7</v>
      </c>
      <c r="J44" s="206">
        <f t="shared" si="1"/>
        <v>147898.84</v>
      </c>
      <c r="K44" s="67"/>
      <c r="L44" s="67"/>
      <c r="M44" s="67"/>
      <c r="N44" s="67"/>
      <c r="O44" s="174"/>
      <c r="P44" s="174"/>
      <c r="Q44" s="174"/>
      <c r="R44" s="174"/>
      <c r="S44" s="208"/>
      <c r="T44" s="174"/>
      <c r="U44" s="174"/>
      <c r="V44" s="168"/>
      <c r="W44" s="62"/>
    </row>
    <row r="45" ht="21" customHeight="1" spans="1:23">
      <c r="A45" s="166"/>
      <c r="B45" s="166"/>
      <c r="C45" s="166">
        <v>11</v>
      </c>
      <c r="D45" s="13" t="s">
        <v>101</v>
      </c>
      <c r="E45" s="13">
        <v>1903.46</v>
      </c>
      <c r="F45" s="13">
        <v>1903.46</v>
      </c>
      <c r="G45" s="173">
        <v>112</v>
      </c>
      <c r="H45" s="171">
        <v>0.7</v>
      </c>
      <c r="I45" s="166">
        <f t="shared" si="0"/>
        <v>78.4</v>
      </c>
      <c r="J45" s="206">
        <f t="shared" si="1"/>
        <v>149231.26</v>
      </c>
      <c r="K45" s="67"/>
      <c r="L45" s="67"/>
      <c r="M45" s="67"/>
      <c r="N45" s="67"/>
      <c r="O45" s="174"/>
      <c r="P45" s="174"/>
      <c r="Q45" s="174"/>
      <c r="R45" s="174"/>
      <c r="S45" s="208"/>
      <c r="T45" s="174"/>
      <c r="U45" s="174"/>
      <c r="V45" s="168"/>
      <c r="W45" s="62"/>
    </row>
    <row r="46" ht="21" customHeight="1" spans="1:23">
      <c r="A46" s="166"/>
      <c r="B46" s="166"/>
      <c r="C46" s="166">
        <v>12</v>
      </c>
      <c r="D46" s="13" t="s">
        <v>101</v>
      </c>
      <c r="E46" s="13">
        <v>1903.46</v>
      </c>
      <c r="F46" s="13">
        <v>1903.46</v>
      </c>
      <c r="G46" s="173">
        <v>113</v>
      </c>
      <c r="H46" s="171">
        <v>0.7</v>
      </c>
      <c r="I46" s="166">
        <f t="shared" si="0"/>
        <v>79.1</v>
      </c>
      <c r="J46" s="206">
        <f t="shared" si="1"/>
        <v>150563.69</v>
      </c>
      <c r="K46" s="67"/>
      <c r="L46" s="67"/>
      <c r="M46" s="67"/>
      <c r="N46" s="67"/>
      <c r="O46" s="174"/>
      <c r="P46" s="174"/>
      <c r="Q46" s="174"/>
      <c r="R46" s="174"/>
      <c r="S46" s="208"/>
      <c r="T46" s="174"/>
      <c r="U46" s="174"/>
      <c r="V46" s="168"/>
      <c r="W46" s="62"/>
    </row>
    <row r="47" ht="21" customHeight="1" spans="1:23">
      <c r="A47" s="166"/>
      <c r="B47" s="166"/>
      <c r="C47" s="166">
        <v>13</v>
      </c>
      <c r="D47" s="13" t="s">
        <v>101</v>
      </c>
      <c r="E47" s="13">
        <v>1903.46</v>
      </c>
      <c r="F47" s="13">
        <v>1903.46</v>
      </c>
      <c r="G47" s="173">
        <v>114</v>
      </c>
      <c r="H47" s="171">
        <v>0.7</v>
      </c>
      <c r="I47" s="166">
        <f t="shared" si="0"/>
        <v>79.8</v>
      </c>
      <c r="J47" s="206">
        <f t="shared" si="1"/>
        <v>151896.11</v>
      </c>
      <c r="K47" s="67"/>
      <c r="L47" s="67"/>
      <c r="M47" s="67"/>
      <c r="N47" s="67"/>
      <c r="O47" s="174"/>
      <c r="P47" s="174"/>
      <c r="Q47" s="174"/>
      <c r="R47" s="174"/>
      <c r="S47" s="208"/>
      <c r="T47" s="174"/>
      <c r="U47" s="174"/>
      <c r="V47" s="168"/>
      <c r="W47" s="62"/>
    </row>
    <row r="48" ht="21" customHeight="1" spans="1:23">
      <c r="A48" s="166"/>
      <c r="B48" s="166"/>
      <c r="C48" s="166">
        <v>15</v>
      </c>
      <c r="D48" s="166" t="s">
        <v>105</v>
      </c>
      <c r="E48" s="209">
        <v>1862.84</v>
      </c>
      <c r="F48" s="210">
        <v>1854.76</v>
      </c>
      <c r="G48" s="173">
        <v>124</v>
      </c>
      <c r="H48" s="171">
        <v>0.5</v>
      </c>
      <c r="I48" s="166">
        <v>62</v>
      </c>
      <c r="J48" s="183">
        <v>115496.08</v>
      </c>
      <c r="K48" s="183">
        <f t="shared" ref="K48:N48" si="2">ROUND(J48*1.03,2)</f>
        <v>118960.96</v>
      </c>
      <c r="L48" s="183">
        <f t="shared" si="2"/>
        <v>122529.79</v>
      </c>
      <c r="M48" s="183">
        <f t="shared" si="2"/>
        <v>126205.68</v>
      </c>
      <c r="N48" s="183">
        <f t="shared" si="2"/>
        <v>129991.85</v>
      </c>
      <c r="O48" s="166" t="s">
        <v>106</v>
      </c>
      <c r="P48" s="166" t="s">
        <v>107</v>
      </c>
      <c r="Q48" s="166">
        <v>5</v>
      </c>
      <c r="R48" s="166">
        <v>3</v>
      </c>
      <c r="S48" s="171">
        <v>0.03</v>
      </c>
      <c r="T48" s="166" t="s">
        <v>58</v>
      </c>
      <c r="U48" s="166" t="s">
        <v>108</v>
      </c>
      <c r="V48" s="166" t="s">
        <v>31</v>
      </c>
      <c r="W48" s="166"/>
    </row>
    <row r="49" s="40" customFormat="1" ht="36.75" customHeight="1" spans="1:23">
      <c r="A49" s="166"/>
      <c r="B49" s="166"/>
      <c r="C49" s="166">
        <v>16</v>
      </c>
      <c r="D49" s="13" t="s">
        <v>105</v>
      </c>
      <c r="E49" s="167">
        <v>1975.45</v>
      </c>
      <c r="F49" s="13">
        <v>1975.45</v>
      </c>
      <c r="G49" s="173">
        <v>117</v>
      </c>
      <c r="H49" s="171">
        <v>0.3</v>
      </c>
      <c r="I49" s="166">
        <v>35.1</v>
      </c>
      <c r="J49" s="183">
        <f>ROUND(I49*E49,2)</f>
        <v>69338.3</v>
      </c>
      <c r="K49" s="183">
        <v>69338.3</v>
      </c>
      <c r="L49" s="183">
        <v>69338.3</v>
      </c>
      <c r="M49" s="183">
        <v>69338.3</v>
      </c>
      <c r="N49" s="183">
        <v>69338.3</v>
      </c>
      <c r="O49" s="13" t="s">
        <v>109</v>
      </c>
      <c r="P49" s="13" t="s">
        <v>110</v>
      </c>
      <c r="Q49" s="166">
        <v>5</v>
      </c>
      <c r="R49" s="166">
        <v>3</v>
      </c>
      <c r="S49" s="184" t="s">
        <v>37</v>
      </c>
      <c r="T49" s="13" t="s">
        <v>38</v>
      </c>
      <c r="U49" s="13" t="s">
        <v>111</v>
      </c>
      <c r="V49" s="166"/>
      <c r="W49" s="13" t="s">
        <v>112</v>
      </c>
    </row>
    <row r="50" s="40" customFormat="1" ht="21" customHeight="1" spans="1:23">
      <c r="A50" s="166"/>
      <c r="B50" s="166"/>
      <c r="C50" s="166">
        <v>17</v>
      </c>
      <c r="D50" s="166" t="s">
        <v>113</v>
      </c>
      <c r="E50" s="13">
        <v>1975.45</v>
      </c>
      <c r="F50" s="13">
        <v>1975.45</v>
      </c>
      <c r="G50" s="173">
        <v>118</v>
      </c>
      <c r="H50" s="171">
        <v>0.3</v>
      </c>
      <c r="I50" s="166">
        <f t="shared" ref="I50:I55" si="3">ROUND(G50*H50,2)</f>
        <v>35.4</v>
      </c>
      <c r="J50" s="183">
        <f t="shared" ref="J50:J55" si="4">ROUND(I50*E50,2)</f>
        <v>69930.93</v>
      </c>
      <c r="K50" s="186">
        <v>69930.93</v>
      </c>
      <c r="L50" s="183">
        <v>69930.93</v>
      </c>
      <c r="M50" s="183">
        <v>69930.93</v>
      </c>
      <c r="N50" s="186">
        <v>69930.93</v>
      </c>
      <c r="O50" s="13" t="s">
        <v>34</v>
      </c>
      <c r="P50" s="13" t="s">
        <v>84</v>
      </c>
      <c r="Q50" s="166">
        <v>5</v>
      </c>
      <c r="R50" s="13" t="s">
        <v>36</v>
      </c>
      <c r="S50" s="184" t="s">
        <v>37</v>
      </c>
      <c r="T50" s="13" t="s">
        <v>38</v>
      </c>
      <c r="U50" s="13" t="s">
        <v>114</v>
      </c>
      <c r="V50" s="166"/>
      <c r="W50" s="166"/>
    </row>
    <row r="51" s="40" customFormat="1" ht="21" customHeight="1" spans="1:23">
      <c r="A51" s="166"/>
      <c r="B51" s="166"/>
      <c r="C51" s="166">
        <v>18</v>
      </c>
      <c r="D51" s="13" t="s">
        <v>113</v>
      </c>
      <c r="E51" s="13">
        <v>1975.45</v>
      </c>
      <c r="F51" s="13">
        <v>1975.45</v>
      </c>
      <c r="G51" s="173">
        <v>119</v>
      </c>
      <c r="H51" s="171">
        <v>0.3</v>
      </c>
      <c r="I51" s="166">
        <f t="shared" si="3"/>
        <v>35.7</v>
      </c>
      <c r="J51" s="183">
        <f t="shared" si="4"/>
        <v>70523.57</v>
      </c>
      <c r="K51" s="186">
        <v>70523.57</v>
      </c>
      <c r="L51" s="183">
        <v>70523.57</v>
      </c>
      <c r="M51" s="183">
        <v>70523.57</v>
      </c>
      <c r="N51" s="186">
        <v>70523.57</v>
      </c>
      <c r="O51" s="166"/>
      <c r="P51" s="166"/>
      <c r="Q51" s="166"/>
      <c r="R51" s="166"/>
      <c r="S51" s="171"/>
      <c r="T51" s="166"/>
      <c r="U51" s="166"/>
      <c r="V51" s="166"/>
      <c r="W51" s="166"/>
    </row>
    <row r="52" s="40" customFormat="1" ht="21" customHeight="1" spans="1:23">
      <c r="A52" s="166"/>
      <c r="B52" s="166"/>
      <c r="C52" s="166">
        <v>19</v>
      </c>
      <c r="D52" s="13" t="s">
        <v>113</v>
      </c>
      <c r="E52" s="13">
        <v>1975.45</v>
      </c>
      <c r="F52" s="13">
        <v>1975.45</v>
      </c>
      <c r="G52" s="173">
        <v>120</v>
      </c>
      <c r="H52" s="171">
        <v>0.3</v>
      </c>
      <c r="I52" s="166">
        <f t="shared" si="3"/>
        <v>36</v>
      </c>
      <c r="J52" s="183">
        <f t="shared" si="4"/>
        <v>71116.2</v>
      </c>
      <c r="K52" s="186">
        <v>71116.2</v>
      </c>
      <c r="L52" s="183">
        <v>71116.2</v>
      </c>
      <c r="M52" s="183">
        <v>71116.2</v>
      </c>
      <c r="N52" s="186">
        <v>71116.2</v>
      </c>
      <c r="O52" s="166"/>
      <c r="P52" s="166"/>
      <c r="Q52" s="166"/>
      <c r="R52" s="166"/>
      <c r="S52" s="171"/>
      <c r="T52" s="166"/>
      <c r="U52" s="166"/>
      <c r="V52" s="166"/>
      <c r="W52" s="166"/>
    </row>
    <row r="53" s="40" customFormat="1" ht="21" customHeight="1" spans="1:23">
      <c r="A53" s="166"/>
      <c r="B53" s="166"/>
      <c r="C53" s="166">
        <v>20</v>
      </c>
      <c r="D53" s="13" t="s">
        <v>113</v>
      </c>
      <c r="E53" s="13">
        <v>1975.45</v>
      </c>
      <c r="F53" s="13">
        <v>1975.45</v>
      </c>
      <c r="G53" s="173">
        <v>121</v>
      </c>
      <c r="H53" s="171">
        <v>0.3</v>
      </c>
      <c r="I53" s="166">
        <f t="shared" si="3"/>
        <v>36.3</v>
      </c>
      <c r="J53" s="183">
        <f t="shared" si="4"/>
        <v>71708.84</v>
      </c>
      <c r="K53" s="186">
        <v>71708.84</v>
      </c>
      <c r="L53" s="183">
        <v>71708.84</v>
      </c>
      <c r="M53" s="183">
        <v>71708.84</v>
      </c>
      <c r="N53" s="186">
        <v>71708.84</v>
      </c>
      <c r="O53" s="166"/>
      <c r="P53" s="166"/>
      <c r="Q53" s="166"/>
      <c r="R53" s="166"/>
      <c r="S53" s="171"/>
      <c r="T53" s="166"/>
      <c r="U53" s="166"/>
      <c r="V53" s="166"/>
      <c r="W53" s="166"/>
    </row>
    <row r="54" s="40" customFormat="1" ht="21" customHeight="1" spans="1:23">
      <c r="A54" s="166"/>
      <c r="B54" s="166"/>
      <c r="C54" s="166">
        <v>21</v>
      </c>
      <c r="D54" s="13" t="s">
        <v>113</v>
      </c>
      <c r="E54" s="13">
        <v>1975.45</v>
      </c>
      <c r="F54" s="13">
        <v>1975.45</v>
      </c>
      <c r="G54" s="173">
        <v>122</v>
      </c>
      <c r="H54" s="171">
        <v>0.3</v>
      </c>
      <c r="I54" s="166">
        <f t="shared" si="3"/>
        <v>36.6</v>
      </c>
      <c r="J54" s="183">
        <f t="shared" si="4"/>
        <v>72301.47</v>
      </c>
      <c r="K54" s="186">
        <v>72301.47</v>
      </c>
      <c r="L54" s="183">
        <v>72301.47</v>
      </c>
      <c r="M54" s="183">
        <v>72301.47</v>
      </c>
      <c r="N54" s="186">
        <v>72301.47</v>
      </c>
      <c r="O54" s="166"/>
      <c r="P54" s="166"/>
      <c r="Q54" s="166"/>
      <c r="R54" s="166"/>
      <c r="S54" s="171"/>
      <c r="T54" s="166"/>
      <c r="U54" s="166"/>
      <c r="V54" s="166"/>
      <c r="W54" s="166"/>
    </row>
    <row r="55" s="40" customFormat="1" ht="21" customHeight="1" spans="1:23">
      <c r="A55" s="166"/>
      <c r="B55" s="166"/>
      <c r="C55" s="166">
        <v>22</v>
      </c>
      <c r="D55" s="13" t="s">
        <v>113</v>
      </c>
      <c r="E55" s="13">
        <v>1975.45</v>
      </c>
      <c r="F55" s="13">
        <v>1975.45</v>
      </c>
      <c r="G55" s="173">
        <v>123</v>
      </c>
      <c r="H55" s="171">
        <v>0.3</v>
      </c>
      <c r="I55" s="166">
        <f t="shared" si="3"/>
        <v>36.9</v>
      </c>
      <c r="J55" s="183">
        <f t="shared" si="4"/>
        <v>72894.11</v>
      </c>
      <c r="K55" s="186">
        <v>72894.11</v>
      </c>
      <c r="L55" s="183">
        <v>72894.11</v>
      </c>
      <c r="M55" s="183">
        <v>72894.11</v>
      </c>
      <c r="N55" s="186">
        <v>72894.11</v>
      </c>
      <c r="O55" s="166"/>
      <c r="P55" s="166"/>
      <c r="Q55" s="166"/>
      <c r="R55" s="166"/>
      <c r="S55" s="171"/>
      <c r="T55" s="166"/>
      <c r="U55" s="166"/>
      <c r="V55" s="166"/>
      <c r="W55" s="166"/>
    </row>
    <row r="56" ht="21" customHeight="1" spans="1:23">
      <c r="A56" s="166"/>
      <c r="B56" s="166"/>
      <c r="C56" s="166">
        <v>23</v>
      </c>
      <c r="D56" s="166" t="s">
        <v>105</v>
      </c>
      <c r="E56" s="167">
        <v>1975.45</v>
      </c>
      <c r="F56" s="13">
        <v>1975.45</v>
      </c>
      <c r="G56" s="173">
        <v>136</v>
      </c>
      <c r="H56" s="171">
        <v>0.5</v>
      </c>
      <c r="I56" s="166">
        <v>68</v>
      </c>
      <c r="J56" s="183">
        <v>134330.6</v>
      </c>
      <c r="K56" s="183">
        <f t="shared" ref="K56:N56" si="5">ROUND(J56*1.03,2)</f>
        <v>138360.52</v>
      </c>
      <c r="L56" s="183">
        <f t="shared" si="5"/>
        <v>142511.34</v>
      </c>
      <c r="M56" s="183">
        <f t="shared" si="5"/>
        <v>146786.68</v>
      </c>
      <c r="N56" s="183">
        <f t="shared" si="5"/>
        <v>151190.28</v>
      </c>
      <c r="O56" s="166" t="s">
        <v>115</v>
      </c>
      <c r="P56" s="166" t="s">
        <v>116</v>
      </c>
      <c r="Q56" s="166">
        <v>3</v>
      </c>
      <c r="R56" s="166">
        <v>3</v>
      </c>
      <c r="S56" s="171">
        <v>0.03</v>
      </c>
      <c r="T56" s="166" t="s">
        <v>38</v>
      </c>
      <c r="U56" s="166" t="s">
        <v>117</v>
      </c>
      <c r="V56" s="166"/>
      <c r="W56" s="166"/>
    </row>
    <row r="57" ht="21" customHeight="1" spans="1:23">
      <c r="A57" s="166"/>
      <c r="B57" s="166"/>
      <c r="C57" s="166">
        <v>24</v>
      </c>
      <c r="D57" s="13" t="s">
        <v>105</v>
      </c>
      <c r="E57" s="209">
        <v>1980.12</v>
      </c>
      <c r="F57" s="210">
        <v>1975.45</v>
      </c>
      <c r="G57" s="173">
        <v>137</v>
      </c>
      <c r="H57" s="171">
        <v>0.5</v>
      </c>
      <c r="I57" s="166">
        <v>68.5</v>
      </c>
      <c r="J57" s="183">
        <v>135638.22</v>
      </c>
      <c r="K57" s="183">
        <f t="shared" ref="K57:N57" si="6">ROUND(J57*1.03,2)</f>
        <v>139707.37</v>
      </c>
      <c r="L57" s="183">
        <f t="shared" si="6"/>
        <v>143898.59</v>
      </c>
      <c r="M57" s="183">
        <f t="shared" si="6"/>
        <v>148215.55</v>
      </c>
      <c r="N57" s="183">
        <f t="shared" si="6"/>
        <v>152662.02</v>
      </c>
      <c r="O57" s="166" t="s">
        <v>106</v>
      </c>
      <c r="P57" s="166" t="s">
        <v>107</v>
      </c>
      <c r="Q57" s="166">
        <v>5</v>
      </c>
      <c r="R57" s="166">
        <v>3</v>
      </c>
      <c r="S57" s="171">
        <v>0.03</v>
      </c>
      <c r="T57" s="166" t="s">
        <v>58</v>
      </c>
      <c r="U57" s="166" t="s">
        <v>108</v>
      </c>
      <c r="V57" s="166"/>
      <c r="W57" s="166"/>
    </row>
    <row r="58" ht="21" customHeight="1" spans="1:23">
      <c r="A58" s="166"/>
      <c r="B58" s="166"/>
      <c r="C58" s="166">
        <v>25</v>
      </c>
      <c r="D58" s="13" t="s">
        <v>105</v>
      </c>
      <c r="E58" s="209">
        <v>1980.12</v>
      </c>
      <c r="F58" s="210">
        <v>1975.45</v>
      </c>
      <c r="G58" s="173">
        <v>138</v>
      </c>
      <c r="H58" s="171">
        <v>0.5</v>
      </c>
      <c r="I58" s="166">
        <v>69</v>
      </c>
      <c r="J58" s="183">
        <v>136628.28</v>
      </c>
      <c r="K58" s="183">
        <f t="shared" ref="K58:N58" si="7">ROUND(J58*1.03,2)</f>
        <v>140727.13</v>
      </c>
      <c r="L58" s="183">
        <f t="shared" si="7"/>
        <v>144948.94</v>
      </c>
      <c r="M58" s="183">
        <f t="shared" si="7"/>
        <v>149297.41</v>
      </c>
      <c r="N58" s="183">
        <f t="shared" si="7"/>
        <v>153776.33</v>
      </c>
      <c r="O58" s="166"/>
      <c r="P58" s="166"/>
      <c r="Q58" s="166"/>
      <c r="R58" s="166"/>
      <c r="S58" s="171"/>
      <c r="T58" s="166"/>
      <c r="U58" s="166"/>
      <c r="V58" s="166"/>
      <c r="W58" s="166"/>
    </row>
    <row r="59" ht="21" customHeight="1" spans="1:23">
      <c r="A59" s="166"/>
      <c r="B59" s="166"/>
      <c r="C59" s="166">
        <v>27</v>
      </c>
      <c r="D59" s="166" t="s">
        <v>76</v>
      </c>
      <c r="E59" s="168">
        <v>1980.48</v>
      </c>
      <c r="F59" s="166">
        <v>1980.48</v>
      </c>
      <c r="G59" s="173">
        <v>110</v>
      </c>
      <c r="H59" s="171">
        <v>0.3</v>
      </c>
      <c r="I59" s="166">
        <v>33</v>
      </c>
      <c r="J59" s="183">
        <v>65355.84</v>
      </c>
      <c r="K59" s="183">
        <v>65355.84</v>
      </c>
      <c r="L59" s="183">
        <v>65355.84</v>
      </c>
      <c r="M59" s="183">
        <v>65355.84</v>
      </c>
      <c r="N59" s="183">
        <v>65355.84</v>
      </c>
      <c r="O59" s="166" t="s">
        <v>77</v>
      </c>
      <c r="P59" s="166" t="s">
        <v>78</v>
      </c>
      <c r="Q59" s="166">
        <v>3</v>
      </c>
      <c r="R59" s="13" t="s">
        <v>36</v>
      </c>
      <c r="S59" s="166">
        <v>0</v>
      </c>
      <c r="T59" s="166" t="s">
        <v>85</v>
      </c>
      <c r="U59" s="13" t="s">
        <v>118</v>
      </c>
      <c r="V59" s="166"/>
      <c r="W59" s="166"/>
    </row>
    <row r="60" ht="21" customHeight="1" spans="1:23">
      <c r="A60" s="166"/>
      <c r="B60" s="166"/>
      <c r="C60" s="166">
        <v>28</v>
      </c>
      <c r="D60" s="13" t="s">
        <v>76</v>
      </c>
      <c r="E60" s="168">
        <v>2031.76</v>
      </c>
      <c r="F60" s="166">
        <v>2031.76</v>
      </c>
      <c r="G60" s="173">
        <v>110</v>
      </c>
      <c r="H60" s="171">
        <v>0.3</v>
      </c>
      <c r="I60" s="166">
        <v>33</v>
      </c>
      <c r="J60" s="183">
        <v>67048.08</v>
      </c>
      <c r="K60" s="183">
        <v>67048.08</v>
      </c>
      <c r="L60" s="183">
        <v>67048.08</v>
      </c>
      <c r="M60" s="183">
        <v>67048.08</v>
      </c>
      <c r="N60" s="183">
        <v>67048.08</v>
      </c>
      <c r="O60" s="166"/>
      <c r="P60" s="166"/>
      <c r="Q60" s="166"/>
      <c r="R60" s="166"/>
      <c r="S60" s="166"/>
      <c r="T60" s="166"/>
      <c r="U60" s="166"/>
      <c r="V60" s="166"/>
      <c r="W60" s="166"/>
    </row>
    <row r="61" ht="21" customHeight="1" spans="1:23">
      <c r="A61" s="166"/>
      <c r="B61" s="166"/>
      <c r="C61" s="166">
        <v>29</v>
      </c>
      <c r="D61" s="13" t="s">
        <v>76</v>
      </c>
      <c r="E61" s="168">
        <v>2031.76</v>
      </c>
      <c r="F61" s="166">
        <v>2031.76</v>
      </c>
      <c r="G61" s="173">
        <v>110</v>
      </c>
      <c r="H61" s="171">
        <v>0.3</v>
      </c>
      <c r="I61" s="166">
        <v>33</v>
      </c>
      <c r="J61" s="183">
        <v>67048.08</v>
      </c>
      <c r="K61" s="183">
        <v>67048.08</v>
      </c>
      <c r="L61" s="183">
        <v>67048.08</v>
      </c>
      <c r="M61" s="183">
        <v>67048.08</v>
      </c>
      <c r="N61" s="183">
        <v>67048.08</v>
      </c>
      <c r="O61" s="166"/>
      <c r="P61" s="166"/>
      <c r="Q61" s="166"/>
      <c r="R61" s="166"/>
      <c r="S61" s="166"/>
      <c r="T61" s="166"/>
      <c r="U61" s="166"/>
      <c r="V61" s="166"/>
      <c r="W61" s="166"/>
    </row>
    <row r="62" ht="21" customHeight="1" spans="1:23">
      <c r="A62" s="166"/>
      <c r="B62" s="166"/>
      <c r="C62" s="166">
        <v>30</v>
      </c>
      <c r="D62" s="13" t="s">
        <v>76</v>
      </c>
      <c r="E62" s="168">
        <v>2031.76</v>
      </c>
      <c r="F62" s="166">
        <v>2031.76</v>
      </c>
      <c r="G62" s="173">
        <v>110</v>
      </c>
      <c r="H62" s="171">
        <v>0.3</v>
      </c>
      <c r="I62" s="166">
        <v>33</v>
      </c>
      <c r="J62" s="183">
        <v>67048.08</v>
      </c>
      <c r="K62" s="183">
        <v>67048.08</v>
      </c>
      <c r="L62" s="183">
        <v>67048.08</v>
      </c>
      <c r="M62" s="183">
        <v>67048.08</v>
      </c>
      <c r="N62" s="183">
        <v>67048.08</v>
      </c>
      <c r="O62" s="166"/>
      <c r="P62" s="166"/>
      <c r="Q62" s="166"/>
      <c r="R62" s="166"/>
      <c r="S62" s="166"/>
      <c r="T62" s="166"/>
      <c r="U62" s="166"/>
      <c r="V62" s="166"/>
      <c r="W62" s="166"/>
    </row>
    <row r="63" ht="21" customHeight="1" spans="1:23">
      <c r="A63" s="166"/>
      <c r="B63" s="166"/>
      <c r="C63" s="166">
        <v>31</v>
      </c>
      <c r="D63" s="13" t="s">
        <v>76</v>
      </c>
      <c r="E63" s="168">
        <v>2031.76</v>
      </c>
      <c r="F63" s="166">
        <v>2031.76</v>
      </c>
      <c r="G63" s="173">
        <v>110</v>
      </c>
      <c r="H63" s="171">
        <v>0.3</v>
      </c>
      <c r="I63" s="166">
        <v>33</v>
      </c>
      <c r="J63" s="183">
        <v>67048.08</v>
      </c>
      <c r="K63" s="183">
        <v>67048.08</v>
      </c>
      <c r="L63" s="183">
        <v>67048.08</v>
      </c>
      <c r="M63" s="183">
        <v>67048.08</v>
      </c>
      <c r="N63" s="183">
        <v>67048.08</v>
      </c>
      <c r="O63" s="166"/>
      <c r="P63" s="166"/>
      <c r="Q63" s="166"/>
      <c r="R63" s="166"/>
      <c r="S63" s="166"/>
      <c r="T63" s="166"/>
      <c r="U63" s="166"/>
      <c r="V63" s="166"/>
      <c r="W63" s="166"/>
    </row>
    <row r="64" ht="21" customHeight="1" spans="1:23">
      <c r="A64" s="166"/>
      <c r="B64" s="166"/>
      <c r="C64" s="166">
        <v>32</v>
      </c>
      <c r="D64" s="13" t="s">
        <v>76</v>
      </c>
      <c r="E64" s="168">
        <v>2031.76</v>
      </c>
      <c r="F64" s="166">
        <v>2031.76</v>
      </c>
      <c r="G64" s="173">
        <v>110</v>
      </c>
      <c r="H64" s="171">
        <v>0.3</v>
      </c>
      <c r="I64" s="166">
        <v>33</v>
      </c>
      <c r="J64" s="183">
        <v>67048.08</v>
      </c>
      <c r="K64" s="183">
        <v>67048.08</v>
      </c>
      <c r="L64" s="183">
        <v>67048.08</v>
      </c>
      <c r="M64" s="183">
        <v>67048.08</v>
      </c>
      <c r="N64" s="183">
        <v>67048.08</v>
      </c>
      <c r="O64" s="166"/>
      <c r="P64" s="166"/>
      <c r="Q64" s="166"/>
      <c r="R64" s="166"/>
      <c r="S64" s="166"/>
      <c r="T64" s="166"/>
      <c r="U64" s="166"/>
      <c r="V64" s="166"/>
      <c r="W64" s="166"/>
    </row>
    <row r="65" ht="21" customHeight="1" spans="1:23">
      <c r="A65" s="166"/>
      <c r="B65" s="166"/>
      <c r="C65" s="166">
        <v>33</v>
      </c>
      <c r="D65" s="166" t="s">
        <v>119</v>
      </c>
      <c r="E65" s="168">
        <v>2031.76</v>
      </c>
      <c r="F65" s="166">
        <v>2031.76</v>
      </c>
      <c r="G65" s="173">
        <v>147</v>
      </c>
      <c r="H65" s="171">
        <v>0.3</v>
      </c>
      <c r="I65" s="166">
        <v>44.1</v>
      </c>
      <c r="J65" s="194">
        <v>271239.96</v>
      </c>
      <c r="K65" s="194">
        <v>279377.16</v>
      </c>
      <c r="L65" s="194">
        <v>287758.47</v>
      </c>
      <c r="M65" s="206" t="s">
        <v>33</v>
      </c>
      <c r="N65" s="206" t="s">
        <v>33</v>
      </c>
      <c r="O65" s="13" t="s">
        <v>120</v>
      </c>
      <c r="P65" s="13" t="s">
        <v>121</v>
      </c>
      <c r="Q65" s="13" t="s">
        <v>122</v>
      </c>
      <c r="R65" s="13" t="s">
        <v>36</v>
      </c>
      <c r="S65" s="171">
        <v>0.03</v>
      </c>
      <c r="T65" s="166" t="s">
        <v>58</v>
      </c>
      <c r="U65" s="166" t="s">
        <v>67</v>
      </c>
      <c r="V65" s="166"/>
      <c r="W65" s="13" t="s">
        <v>123</v>
      </c>
    </row>
    <row r="66" ht="21" customHeight="1" spans="1:23">
      <c r="A66" s="166"/>
      <c r="B66" s="166"/>
      <c r="C66" s="166">
        <v>34</v>
      </c>
      <c r="D66" s="13" t="s">
        <v>119</v>
      </c>
      <c r="E66" s="168">
        <v>2031.76</v>
      </c>
      <c r="F66" s="166">
        <v>2031.76</v>
      </c>
      <c r="G66" s="173">
        <v>148</v>
      </c>
      <c r="H66" s="171">
        <v>0.3</v>
      </c>
      <c r="I66" s="166">
        <v>44.4</v>
      </c>
      <c r="J66" s="211"/>
      <c r="K66" s="211"/>
      <c r="L66" s="211"/>
      <c r="M66" s="211"/>
      <c r="N66" s="211"/>
      <c r="O66" s="166"/>
      <c r="P66" s="166"/>
      <c r="Q66" s="166"/>
      <c r="R66" s="166"/>
      <c r="S66" s="171"/>
      <c r="T66" s="166"/>
      <c r="U66" s="166"/>
      <c r="V66" s="166"/>
      <c r="W66" s="166"/>
    </row>
    <row r="67" ht="21" customHeight="1" spans="1:23">
      <c r="A67" s="166"/>
      <c r="B67" s="166"/>
      <c r="C67" s="166">
        <v>35</v>
      </c>
      <c r="D67" s="13" t="s">
        <v>119</v>
      </c>
      <c r="E67" s="168">
        <v>2031.76</v>
      </c>
      <c r="F67" s="166">
        <v>2031.76</v>
      </c>
      <c r="G67" s="173">
        <v>150</v>
      </c>
      <c r="H67" s="171">
        <v>0.3</v>
      </c>
      <c r="I67" s="166">
        <v>45</v>
      </c>
      <c r="J67" s="195"/>
      <c r="K67" s="195"/>
      <c r="L67" s="195"/>
      <c r="M67" s="195"/>
      <c r="N67" s="195"/>
      <c r="O67" s="166"/>
      <c r="P67" s="166"/>
      <c r="Q67" s="166"/>
      <c r="R67" s="166"/>
      <c r="S67" s="171"/>
      <c r="T67" s="166"/>
      <c r="U67" s="166"/>
      <c r="V67" s="166"/>
      <c r="W67" s="166"/>
    </row>
    <row r="68" ht="21" customHeight="1" spans="1:23">
      <c r="A68" s="166"/>
      <c r="B68" s="166"/>
      <c r="C68" s="166">
        <v>36</v>
      </c>
      <c r="D68" s="13" t="s">
        <v>76</v>
      </c>
      <c r="E68" s="168">
        <v>2031.76</v>
      </c>
      <c r="F68" s="166">
        <v>2031.76</v>
      </c>
      <c r="G68" s="173">
        <v>137</v>
      </c>
      <c r="H68" s="171">
        <v>0.3</v>
      </c>
      <c r="I68" s="166">
        <v>41.1</v>
      </c>
      <c r="J68" s="166">
        <f>ROUND(I68*E68,2)</f>
        <v>83505.34</v>
      </c>
      <c r="K68" s="166">
        <v>83505.34</v>
      </c>
      <c r="L68" s="13" t="s">
        <v>33</v>
      </c>
      <c r="M68" s="13" t="s">
        <v>33</v>
      </c>
      <c r="N68" s="13" t="s">
        <v>33</v>
      </c>
      <c r="O68" s="13" t="s">
        <v>124</v>
      </c>
      <c r="P68" s="13" t="s">
        <v>78</v>
      </c>
      <c r="Q68" s="13" t="s">
        <v>125</v>
      </c>
      <c r="R68" s="166">
        <v>4</v>
      </c>
      <c r="S68" s="166">
        <v>0</v>
      </c>
      <c r="T68" s="13" t="s">
        <v>38</v>
      </c>
      <c r="U68" s="13" t="s">
        <v>126</v>
      </c>
      <c r="V68" s="166"/>
      <c r="W68" s="166"/>
    </row>
    <row r="69" ht="37.5" customHeight="1" spans="1:23">
      <c r="A69" s="166"/>
      <c r="B69" s="166"/>
      <c r="C69" s="166">
        <v>37</v>
      </c>
      <c r="D69" s="166" t="s">
        <v>127</v>
      </c>
      <c r="E69" s="168">
        <v>2031.76</v>
      </c>
      <c r="F69" s="166">
        <v>2031.76</v>
      </c>
      <c r="G69" s="173">
        <v>150</v>
      </c>
      <c r="H69" s="171">
        <v>0.3</v>
      </c>
      <c r="I69" s="166">
        <v>45</v>
      </c>
      <c r="J69" s="183">
        <v>91429.2</v>
      </c>
      <c r="K69" s="183">
        <v>94172.08</v>
      </c>
      <c r="L69" s="183">
        <v>96997.24</v>
      </c>
      <c r="M69" s="186" t="s">
        <v>33</v>
      </c>
      <c r="N69" s="186" t="s">
        <v>33</v>
      </c>
      <c r="O69" s="13" t="s">
        <v>120</v>
      </c>
      <c r="P69" s="13" t="s">
        <v>121</v>
      </c>
      <c r="Q69" s="13" t="s">
        <v>128</v>
      </c>
      <c r="R69" s="13" t="s">
        <v>36</v>
      </c>
      <c r="S69" s="171">
        <v>0.03</v>
      </c>
      <c r="T69" s="166" t="s">
        <v>85</v>
      </c>
      <c r="U69" s="166" t="s">
        <v>67</v>
      </c>
      <c r="V69" s="166"/>
      <c r="W69" s="13" t="s">
        <v>123</v>
      </c>
    </row>
    <row r="70" ht="21" customHeight="1" spans="1:23">
      <c r="A70" s="166"/>
      <c r="B70" s="166" t="s">
        <v>129</v>
      </c>
      <c r="C70" s="166">
        <v>3</v>
      </c>
      <c r="D70" s="212" t="s">
        <v>130</v>
      </c>
      <c r="E70" s="89">
        <v>1718</v>
      </c>
      <c r="F70" s="85">
        <v>1718</v>
      </c>
      <c r="G70" s="213"/>
      <c r="H70" s="171"/>
      <c r="I70" s="166"/>
      <c r="J70" s="183"/>
      <c r="K70" s="183"/>
      <c r="L70" s="183"/>
      <c r="M70" s="183"/>
      <c r="N70" s="183"/>
      <c r="O70" s="166"/>
      <c r="P70" s="166"/>
      <c r="Q70" s="166"/>
      <c r="R70" s="166"/>
      <c r="S70" s="171"/>
      <c r="T70" s="166"/>
      <c r="U70" s="166"/>
      <c r="V70" s="166" t="s">
        <v>31</v>
      </c>
      <c r="W70" s="166"/>
    </row>
    <row r="71" ht="21" customHeight="1" spans="1:23">
      <c r="A71" s="166"/>
      <c r="B71" s="166"/>
      <c r="C71" s="166">
        <v>401</v>
      </c>
      <c r="D71" s="212" t="s">
        <v>130</v>
      </c>
      <c r="E71" s="214">
        <v>1169.95</v>
      </c>
      <c r="F71" s="215">
        <v>1169.95</v>
      </c>
      <c r="G71" s="213"/>
      <c r="H71" s="171"/>
      <c r="I71" s="166"/>
      <c r="J71" s="183"/>
      <c r="K71" s="183"/>
      <c r="L71" s="183"/>
      <c r="M71" s="183"/>
      <c r="N71" s="183"/>
      <c r="O71" s="166"/>
      <c r="P71" s="166"/>
      <c r="Q71" s="166"/>
      <c r="R71" s="166"/>
      <c r="S71" s="171"/>
      <c r="T71" s="166"/>
      <c r="U71" s="166"/>
      <c r="V71" s="166"/>
      <c r="W71" s="216"/>
    </row>
    <row r="72" ht="21" customHeight="1" spans="1:23">
      <c r="A72" s="166"/>
      <c r="B72" s="166"/>
      <c r="C72" s="166">
        <v>402</v>
      </c>
      <c r="D72" s="212" t="s">
        <v>130</v>
      </c>
      <c r="E72" s="214">
        <v>548.05</v>
      </c>
      <c r="F72" s="215">
        <v>548.05</v>
      </c>
      <c r="G72" s="213"/>
      <c r="H72" s="171"/>
      <c r="I72" s="166"/>
      <c r="J72" s="187"/>
      <c r="K72" s="187"/>
      <c r="L72" s="187"/>
      <c r="M72" s="187"/>
      <c r="N72" s="187"/>
      <c r="O72" s="187"/>
      <c r="P72" s="187"/>
      <c r="Q72" s="187"/>
      <c r="R72" s="187"/>
      <c r="S72" s="187"/>
      <c r="T72" s="187"/>
      <c r="U72" s="187"/>
      <c r="V72" s="166" t="s">
        <v>59</v>
      </c>
      <c r="W72" s="216"/>
    </row>
    <row r="73" ht="21" customHeight="1" spans="1:23">
      <c r="A73" s="166"/>
      <c r="B73" s="166"/>
      <c r="C73" s="166">
        <v>5</v>
      </c>
      <c r="D73" s="212" t="s">
        <v>130</v>
      </c>
      <c r="E73" s="214">
        <v>1718</v>
      </c>
      <c r="F73" s="215">
        <v>1718</v>
      </c>
      <c r="G73" s="213"/>
      <c r="H73" s="171"/>
      <c r="I73" s="166"/>
      <c r="J73" s="187"/>
      <c r="K73" s="187"/>
      <c r="L73" s="187"/>
      <c r="M73" s="187"/>
      <c r="N73" s="187"/>
      <c r="O73" s="187"/>
      <c r="P73" s="187"/>
      <c r="Q73" s="187"/>
      <c r="R73" s="187"/>
      <c r="S73" s="187"/>
      <c r="T73" s="187"/>
      <c r="U73" s="187"/>
      <c r="V73" s="166"/>
      <c r="W73" s="216"/>
    </row>
    <row r="74" s="40" customFormat="1" ht="21" customHeight="1" spans="1:23">
      <c r="A74" s="166"/>
      <c r="B74" s="166"/>
      <c r="C74" s="166">
        <v>6</v>
      </c>
      <c r="D74" s="13" t="s">
        <v>131</v>
      </c>
      <c r="E74" s="168">
        <v>1718</v>
      </c>
      <c r="F74" s="166">
        <v>1718</v>
      </c>
      <c r="G74" s="173">
        <v>103</v>
      </c>
      <c r="H74" s="171">
        <v>0.3</v>
      </c>
      <c r="I74" s="166">
        <v>30.9</v>
      </c>
      <c r="J74" s="183">
        <v>53086.2</v>
      </c>
      <c r="K74" s="183">
        <v>53086.2</v>
      </c>
      <c r="L74" s="183">
        <v>53086.2</v>
      </c>
      <c r="M74" s="186" t="s">
        <v>33</v>
      </c>
      <c r="N74" s="186" t="s">
        <v>33</v>
      </c>
      <c r="O74" s="186" t="s">
        <v>56</v>
      </c>
      <c r="P74" s="186" t="s">
        <v>132</v>
      </c>
      <c r="Q74" s="166">
        <v>3</v>
      </c>
      <c r="R74" s="13">
        <v>3</v>
      </c>
      <c r="S74" s="184" t="s">
        <v>37</v>
      </c>
      <c r="T74" s="13" t="s">
        <v>38</v>
      </c>
      <c r="U74" s="13"/>
      <c r="V74" s="166"/>
      <c r="W74" s="216"/>
    </row>
    <row r="75" s="40" customFormat="1" ht="21" customHeight="1" spans="1:23">
      <c r="A75" s="166"/>
      <c r="B75" s="166"/>
      <c r="C75" s="166">
        <v>7</v>
      </c>
      <c r="D75" s="166" t="s">
        <v>133</v>
      </c>
      <c r="E75" s="168">
        <v>1718</v>
      </c>
      <c r="F75" s="166">
        <v>1718</v>
      </c>
      <c r="G75" s="173">
        <v>103</v>
      </c>
      <c r="H75" s="171">
        <v>0.7</v>
      </c>
      <c r="I75" s="166">
        <f>ROUND(H75*G75,2)</f>
        <v>72.1</v>
      </c>
      <c r="J75" s="183">
        <f>ROUND(I75*E75,2)</f>
        <v>123867.8</v>
      </c>
      <c r="K75" s="183">
        <v>123867.8</v>
      </c>
      <c r="L75" s="183">
        <v>123867.8</v>
      </c>
      <c r="M75" s="186" t="s">
        <v>33</v>
      </c>
      <c r="N75" s="186" t="s">
        <v>33</v>
      </c>
      <c r="O75" s="13" t="s">
        <v>61</v>
      </c>
      <c r="P75" s="13" t="s">
        <v>134</v>
      </c>
      <c r="Q75" s="166">
        <v>3</v>
      </c>
      <c r="R75" s="13" t="s">
        <v>36</v>
      </c>
      <c r="S75" s="184" t="s">
        <v>37</v>
      </c>
      <c r="T75" s="166" t="s">
        <v>58</v>
      </c>
      <c r="U75" s="13" t="s">
        <v>135</v>
      </c>
      <c r="V75" s="166"/>
      <c r="W75" s="166"/>
    </row>
    <row r="76" ht="21" customHeight="1" spans="1:23">
      <c r="A76" s="166"/>
      <c r="B76" s="166"/>
      <c r="C76" s="166">
        <v>801</v>
      </c>
      <c r="D76" s="166" t="s">
        <v>136</v>
      </c>
      <c r="E76" s="168">
        <v>767.43</v>
      </c>
      <c r="F76" s="166">
        <v>767.43</v>
      </c>
      <c r="G76" s="173">
        <v>117</v>
      </c>
      <c r="H76" s="171">
        <v>0.5</v>
      </c>
      <c r="I76" s="166">
        <v>58.5</v>
      </c>
      <c r="J76" s="187">
        <v>44894.66</v>
      </c>
      <c r="K76" s="187">
        <v>46241.5</v>
      </c>
      <c r="L76" s="187">
        <v>47628.75</v>
      </c>
      <c r="M76" s="187">
        <v>49057.61</v>
      </c>
      <c r="N76" s="187">
        <v>50529.34</v>
      </c>
      <c r="O76" s="189" t="s">
        <v>137</v>
      </c>
      <c r="P76" s="189" t="s">
        <v>138</v>
      </c>
      <c r="Q76" s="189">
        <v>5</v>
      </c>
      <c r="R76" s="189">
        <v>3</v>
      </c>
      <c r="S76" s="191">
        <v>0.03</v>
      </c>
      <c r="T76" s="166" t="s">
        <v>58</v>
      </c>
      <c r="U76" s="166" t="s">
        <v>139</v>
      </c>
      <c r="V76" s="166"/>
      <c r="W76" s="166"/>
    </row>
    <row r="77" ht="21" customHeight="1" spans="1:23">
      <c r="A77" s="166"/>
      <c r="B77" s="166"/>
      <c r="C77" s="166">
        <v>802</v>
      </c>
      <c r="D77" s="166" t="s">
        <v>140</v>
      </c>
      <c r="E77" s="168">
        <v>950.57</v>
      </c>
      <c r="F77" s="166">
        <v>950.57</v>
      </c>
      <c r="G77" s="173">
        <v>117</v>
      </c>
      <c r="H77" s="171">
        <v>0.7</v>
      </c>
      <c r="I77" s="166">
        <v>81.9</v>
      </c>
      <c r="J77" s="187">
        <v>77851.68</v>
      </c>
      <c r="K77" s="187">
        <v>80187.23</v>
      </c>
      <c r="L77" s="187">
        <v>82592.85</v>
      </c>
      <c r="M77" s="196" t="s">
        <v>33</v>
      </c>
      <c r="N77" s="196" t="s">
        <v>33</v>
      </c>
      <c r="O77" s="189" t="s">
        <v>141</v>
      </c>
      <c r="P77" s="189" t="s">
        <v>56</v>
      </c>
      <c r="Q77" s="189">
        <v>3</v>
      </c>
      <c r="R77" s="189">
        <v>3</v>
      </c>
      <c r="S77" s="191">
        <v>0.03</v>
      </c>
      <c r="T77" s="166" t="s">
        <v>85</v>
      </c>
      <c r="U77" s="166" t="s">
        <v>142</v>
      </c>
      <c r="V77" s="166"/>
      <c r="W77" s="166"/>
    </row>
    <row r="78" ht="21" customHeight="1" spans="1:23">
      <c r="A78" s="166"/>
      <c r="B78" s="166"/>
      <c r="C78" s="166">
        <v>9</v>
      </c>
      <c r="D78" s="166" t="s">
        <v>143</v>
      </c>
      <c r="E78" s="168">
        <v>1718</v>
      </c>
      <c r="F78" s="166">
        <v>1718</v>
      </c>
      <c r="G78" s="173">
        <v>118</v>
      </c>
      <c r="H78" s="171">
        <v>0.4</v>
      </c>
      <c r="I78" s="166">
        <v>47.2</v>
      </c>
      <c r="J78" s="187">
        <v>81089.6</v>
      </c>
      <c r="K78" s="187">
        <v>83522.29</v>
      </c>
      <c r="L78" s="187">
        <v>86027.96</v>
      </c>
      <c r="M78" s="196" t="s">
        <v>33</v>
      </c>
      <c r="N78" s="196" t="s">
        <v>33</v>
      </c>
      <c r="O78" s="189" t="s">
        <v>144</v>
      </c>
      <c r="P78" s="189" t="s">
        <v>145</v>
      </c>
      <c r="Q78" s="189">
        <v>3</v>
      </c>
      <c r="R78" s="189">
        <v>3</v>
      </c>
      <c r="S78" s="191">
        <v>0.03</v>
      </c>
      <c r="T78" s="166" t="s">
        <v>85</v>
      </c>
      <c r="U78" s="166" t="s">
        <v>146</v>
      </c>
      <c r="V78" s="166"/>
      <c r="W78" s="166"/>
    </row>
    <row r="79" ht="21" customHeight="1" spans="1:23">
      <c r="A79" s="166"/>
      <c r="B79" s="166"/>
      <c r="C79" s="166">
        <v>10</v>
      </c>
      <c r="D79" s="13" t="s">
        <v>147</v>
      </c>
      <c r="E79" s="168">
        <v>1718</v>
      </c>
      <c r="F79" s="166">
        <v>1718</v>
      </c>
      <c r="G79" s="173">
        <v>106</v>
      </c>
      <c r="H79" s="171">
        <v>0.4</v>
      </c>
      <c r="I79" s="166">
        <f>ROUND(H79*G79,2)</f>
        <v>42.4</v>
      </c>
      <c r="J79" s="166">
        <f>ROUND(I79*E79,2)</f>
        <v>72843.2</v>
      </c>
      <c r="K79" s="166">
        <f>ROUND(J79*1.03,2)</f>
        <v>75028.5</v>
      </c>
      <c r="L79" s="166">
        <f>ROUND(K79*1.03,2)</f>
        <v>77279.36</v>
      </c>
      <c r="M79" s="13" t="s">
        <v>33</v>
      </c>
      <c r="N79" s="13" t="s">
        <v>33</v>
      </c>
      <c r="O79" s="13" t="s">
        <v>148</v>
      </c>
      <c r="P79" s="13" t="s">
        <v>149</v>
      </c>
      <c r="Q79" s="166">
        <v>3</v>
      </c>
      <c r="R79" s="166">
        <v>3</v>
      </c>
      <c r="S79" s="171">
        <v>0.03</v>
      </c>
      <c r="T79" s="13" t="s">
        <v>38</v>
      </c>
      <c r="U79" s="13" t="s">
        <v>150</v>
      </c>
      <c r="V79" s="166"/>
      <c r="W79" s="166"/>
    </row>
    <row r="80" ht="21" customHeight="1" spans="1:23">
      <c r="A80" s="166"/>
      <c r="B80" s="166"/>
      <c r="C80" s="217" t="s">
        <v>151</v>
      </c>
      <c r="D80" s="166" t="s">
        <v>152</v>
      </c>
      <c r="E80" s="168">
        <v>844.78</v>
      </c>
      <c r="F80" s="166">
        <v>844.78</v>
      </c>
      <c r="G80" s="173">
        <v>120</v>
      </c>
      <c r="H80" s="171">
        <v>0.5</v>
      </c>
      <c r="I80" s="166">
        <v>60</v>
      </c>
      <c r="J80" s="196" t="s">
        <v>33</v>
      </c>
      <c r="K80" s="196" t="s">
        <v>33</v>
      </c>
      <c r="L80" s="196" t="s">
        <v>33</v>
      </c>
      <c r="M80" s="187">
        <v>55386.83</v>
      </c>
      <c r="N80" s="187">
        <v>57048.43</v>
      </c>
      <c r="O80" s="189" t="s">
        <v>65</v>
      </c>
      <c r="P80" s="189" t="s">
        <v>66</v>
      </c>
      <c r="Q80" s="189">
        <v>5</v>
      </c>
      <c r="R80" s="189">
        <v>3</v>
      </c>
      <c r="S80" s="191">
        <v>0.03</v>
      </c>
      <c r="T80" s="166" t="s">
        <v>58</v>
      </c>
      <c r="U80" s="166" t="s">
        <v>153</v>
      </c>
      <c r="V80" s="166"/>
      <c r="W80" s="166"/>
    </row>
    <row r="81" ht="21" customHeight="1" spans="1:23">
      <c r="A81" s="166"/>
      <c r="B81" s="166"/>
      <c r="C81" s="166">
        <v>1103</v>
      </c>
      <c r="D81" s="166" t="s">
        <v>154</v>
      </c>
      <c r="E81" s="168">
        <v>492.96</v>
      </c>
      <c r="F81" s="166">
        <v>492.96</v>
      </c>
      <c r="G81" s="173">
        <v>120</v>
      </c>
      <c r="H81" s="166" t="s">
        <v>33</v>
      </c>
      <c r="I81" s="166" t="s">
        <v>33</v>
      </c>
      <c r="J81" s="187">
        <v>59155.2</v>
      </c>
      <c r="K81" s="187">
        <v>60929.86</v>
      </c>
      <c r="L81" s="187">
        <v>62757.76</v>
      </c>
      <c r="M81" s="196" t="s">
        <v>33</v>
      </c>
      <c r="N81" s="196" t="s">
        <v>33</v>
      </c>
      <c r="O81" s="189" t="s">
        <v>155</v>
      </c>
      <c r="P81" s="189" t="s">
        <v>156</v>
      </c>
      <c r="Q81" s="189">
        <v>3</v>
      </c>
      <c r="R81" s="189">
        <v>3</v>
      </c>
      <c r="S81" s="191">
        <v>0.03</v>
      </c>
      <c r="T81" s="166" t="s">
        <v>38</v>
      </c>
      <c r="U81" s="166" t="s">
        <v>157</v>
      </c>
      <c r="V81" s="166"/>
      <c r="W81" s="166"/>
    </row>
    <row r="82" ht="21" customHeight="1" spans="1:23">
      <c r="A82" s="166"/>
      <c r="B82" s="166"/>
      <c r="C82" s="166">
        <v>1104</v>
      </c>
      <c r="D82" s="166" t="s">
        <v>154</v>
      </c>
      <c r="E82" s="168">
        <v>380.26</v>
      </c>
      <c r="F82" s="166">
        <v>380.26</v>
      </c>
      <c r="G82" s="173">
        <v>120</v>
      </c>
      <c r="H82" s="166" t="s">
        <v>33</v>
      </c>
      <c r="I82" s="166" t="s">
        <v>33</v>
      </c>
      <c r="J82" s="187">
        <v>45631.2</v>
      </c>
      <c r="K82" s="187">
        <v>47000.14</v>
      </c>
      <c r="L82" s="187">
        <v>48410.14</v>
      </c>
      <c r="M82" s="196" t="s">
        <v>33</v>
      </c>
      <c r="N82" s="196" t="s">
        <v>33</v>
      </c>
      <c r="O82" s="189" t="s">
        <v>155</v>
      </c>
      <c r="P82" s="189" t="s">
        <v>156</v>
      </c>
      <c r="Q82" s="189">
        <v>3</v>
      </c>
      <c r="R82" s="189">
        <v>3</v>
      </c>
      <c r="S82" s="191">
        <v>0.03</v>
      </c>
      <c r="T82" s="166" t="s">
        <v>38</v>
      </c>
      <c r="U82" s="166" t="s">
        <v>157</v>
      </c>
      <c r="V82" s="166"/>
      <c r="W82" s="166"/>
    </row>
    <row r="83" ht="21" customHeight="1" spans="1:23">
      <c r="A83" s="166"/>
      <c r="B83" s="166"/>
      <c r="C83" s="166">
        <v>12</v>
      </c>
      <c r="D83" s="166" t="s">
        <v>158</v>
      </c>
      <c r="E83" s="168">
        <v>1718</v>
      </c>
      <c r="F83" s="166">
        <v>1718</v>
      </c>
      <c r="G83" s="173">
        <v>121</v>
      </c>
      <c r="H83" s="171">
        <v>0.3</v>
      </c>
      <c r="I83" s="166">
        <v>36.3</v>
      </c>
      <c r="J83" s="189">
        <v>62363.4</v>
      </c>
      <c r="K83" s="189">
        <v>64234.3</v>
      </c>
      <c r="L83" s="189">
        <v>66161.33</v>
      </c>
      <c r="M83" s="187">
        <v>68146.17</v>
      </c>
      <c r="N83" s="187">
        <v>233968.52</v>
      </c>
      <c r="O83" s="189" t="s">
        <v>159</v>
      </c>
      <c r="P83" s="189" t="s">
        <v>160</v>
      </c>
      <c r="Q83" s="189">
        <v>5</v>
      </c>
      <c r="R83" s="189">
        <v>3</v>
      </c>
      <c r="S83" s="191">
        <v>0.03</v>
      </c>
      <c r="T83" s="166" t="s">
        <v>58</v>
      </c>
      <c r="U83" s="166" t="s">
        <v>67</v>
      </c>
      <c r="V83" s="166"/>
      <c r="W83" s="166"/>
    </row>
    <row r="84" s="156" customFormat="1" ht="21" customHeight="1" spans="1:23">
      <c r="A84" s="210"/>
      <c r="B84" s="210"/>
      <c r="C84" s="218">
        <v>1301</v>
      </c>
      <c r="D84" s="218" t="s">
        <v>161</v>
      </c>
      <c r="E84" s="219">
        <v>643.61</v>
      </c>
      <c r="F84" s="218">
        <v>643.61</v>
      </c>
      <c r="G84" s="220">
        <v>122</v>
      </c>
      <c r="H84" s="221">
        <v>0.7</v>
      </c>
      <c r="I84" s="218">
        <v>85.4</v>
      </c>
      <c r="J84" s="222" t="s">
        <v>33</v>
      </c>
      <c r="K84" s="222" t="s">
        <v>33</v>
      </c>
      <c r="L84" s="222" t="s">
        <v>33</v>
      </c>
      <c r="M84" s="222" t="s">
        <v>33</v>
      </c>
      <c r="N84" s="222">
        <v>61862.8</v>
      </c>
      <c r="O84" s="218" t="s">
        <v>55</v>
      </c>
      <c r="P84" s="218" t="s">
        <v>162</v>
      </c>
      <c r="Q84" s="218">
        <v>5</v>
      </c>
      <c r="R84" s="218">
        <v>3</v>
      </c>
      <c r="S84" s="221">
        <v>0.03</v>
      </c>
      <c r="T84" s="218" t="s">
        <v>58</v>
      </c>
      <c r="U84" s="219" t="s">
        <v>30</v>
      </c>
      <c r="V84" s="223" t="s">
        <v>31</v>
      </c>
      <c r="W84" s="210" t="s">
        <v>163</v>
      </c>
    </row>
    <row r="85" ht="21" customHeight="1" spans="1:23">
      <c r="A85" s="166"/>
      <c r="B85" s="166"/>
      <c r="C85" s="166">
        <v>1302</v>
      </c>
      <c r="D85" s="212" t="s">
        <v>164</v>
      </c>
      <c r="E85" s="89">
        <v>1074.39</v>
      </c>
      <c r="F85" s="85">
        <v>1074.39</v>
      </c>
      <c r="G85" s="213">
        <v>113</v>
      </c>
      <c r="H85" s="171"/>
      <c r="I85" s="166"/>
      <c r="J85" s="183"/>
      <c r="K85" s="183"/>
      <c r="L85" s="183"/>
      <c r="M85" s="183"/>
      <c r="N85" s="183"/>
      <c r="O85" s="166"/>
      <c r="P85" s="166"/>
      <c r="Q85" s="166"/>
      <c r="R85" s="166"/>
      <c r="S85" s="171"/>
      <c r="T85" s="166"/>
      <c r="U85" s="168"/>
      <c r="V85" s="224"/>
      <c r="W85" s="166"/>
    </row>
    <row r="86" ht="21" customHeight="1" spans="1:23">
      <c r="A86" s="166"/>
      <c r="B86" s="166"/>
      <c r="C86" s="166">
        <v>1401</v>
      </c>
      <c r="D86" s="212" t="s">
        <v>165</v>
      </c>
      <c r="E86" s="89">
        <v>783.81</v>
      </c>
      <c r="F86" s="85">
        <v>783.81</v>
      </c>
      <c r="G86" s="213">
        <v>114</v>
      </c>
      <c r="H86" s="171"/>
      <c r="I86" s="166"/>
      <c r="J86" s="183"/>
      <c r="K86" s="183"/>
      <c r="L86" s="183"/>
      <c r="M86" s="183"/>
      <c r="N86" s="183"/>
      <c r="O86" s="166"/>
      <c r="P86" s="166"/>
      <c r="Q86" s="166"/>
      <c r="R86" s="166"/>
      <c r="S86" s="171"/>
      <c r="T86" s="166"/>
      <c r="U86" s="168"/>
      <c r="V86" s="224"/>
      <c r="W86" s="166"/>
    </row>
    <row r="87" s="40" customFormat="1" ht="21" customHeight="1" spans="1:23">
      <c r="A87" s="166"/>
      <c r="B87" s="166"/>
      <c r="C87" s="166">
        <v>1402</v>
      </c>
      <c r="D87" s="166" t="s">
        <v>166</v>
      </c>
      <c r="E87" s="167">
        <v>902.04</v>
      </c>
      <c r="F87" s="13">
        <v>902.04</v>
      </c>
      <c r="G87" s="173">
        <v>114</v>
      </c>
      <c r="H87" s="171">
        <v>0.5</v>
      </c>
      <c r="I87" s="166">
        <v>57</v>
      </c>
      <c r="J87" s="183">
        <f>ROUND(I87*E87,2)</f>
        <v>51416.28</v>
      </c>
      <c r="K87" s="183">
        <v>51416.28</v>
      </c>
      <c r="L87" s="183">
        <v>51416.28</v>
      </c>
      <c r="M87" s="186" t="s">
        <v>33</v>
      </c>
      <c r="N87" s="186" t="s">
        <v>33</v>
      </c>
      <c r="O87" s="13" t="s">
        <v>34</v>
      </c>
      <c r="P87" s="13" t="s">
        <v>35</v>
      </c>
      <c r="Q87" s="166">
        <v>3</v>
      </c>
      <c r="R87" s="166">
        <v>0</v>
      </c>
      <c r="S87" s="184" t="s">
        <v>37</v>
      </c>
      <c r="T87" s="13" t="s">
        <v>38</v>
      </c>
      <c r="U87" s="225" t="s">
        <v>88</v>
      </c>
      <c r="V87" s="224"/>
      <c r="W87" s="166"/>
    </row>
    <row r="88" ht="21" customHeight="1" spans="1:23">
      <c r="A88" s="166"/>
      <c r="B88" s="166"/>
      <c r="C88" s="166">
        <v>1501</v>
      </c>
      <c r="D88" s="166" t="s">
        <v>167</v>
      </c>
      <c r="E88" s="168">
        <v>274.86</v>
      </c>
      <c r="F88" s="166">
        <v>274.86</v>
      </c>
      <c r="G88" s="173">
        <v>124</v>
      </c>
      <c r="H88" s="171">
        <v>0.3</v>
      </c>
      <c r="I88" s="166">
        <v>37.2</v>
      </c>
      <c r="J88" s="194">
        <v>31462.27</v>
      </c>
      <c r="K88" s="194">
        <v>32406.14</v>
      </c>
      <c r="L88" s="194">
        <v>33378.32</v>
      </c>
      <c r="M88" s="206" t="s">
        <v>33</v>
      </c>
      <c r="N88" s="206" t="s">
        <v>33</v>
      </c>
      <c r="O88" s="166" t="s">
        <v>168</v>
      </c>
      <c r="P88" s="166" t="s">
        <v>169</v>
      </c>
      <c r="Q88" s="166">
        <v>3</v>
      </c>
      <c r="R88" s="166">
        <v>3</v>
      </c>
      <c r="S88" s="171">
        <v>0.03</v>
      </c>
      <c r="T88" s="166" t="s">
        <v>58</v>
      </c>
      <c r="U88" s="168" t="s">
        <v>170</v>
      </c>
      <c r="V88" s="224"/>
      <c r="W88" s="166"/>
    </row>
    <row r="89" ht="21" customHeight="1" spans="1:23">
      <c r="A89" s="166"/>
      <c r="B89" s="166"/>
      <c r="C89" s="166">
        <v>1502</v>
      </c>
      <c r="D89" s="166" t="s">
        <v>167</v>
      </c>
      <c r="E89" s="168">
        <v>570.9</v>
      </c>
      <c r="F89" s="166">
        <v>570.9</v>
      </c>
      <c r="G89" s="173">
        <v>124</v>
      </c>
      <c r="H89" s="171">
        <v>0.3</v>
      </c>
      <c r="I89" s="166">
        <v>37.2</v>
      </c>
      <c r="J89" s="195"/>
      <c r="K89" s="195"/>
      <c r="L89" s="195"/>
      <c r="M89" s="195"/>
      <c r="N89" s="195"/>
      <c r="O89" s="166" t="s">
        <v>168</v>
      </c>
      <c r="P89" s="166" t="s">
        <v>169</v>
      </c>
      <c r="Q89" s="166">
        <v>3</v>
      </c>
      <c r="R89" s="166">
        <v>3</v>
      </c>
      <c r="S89" s="171">
        <v>0.03</v>
      </c>
      <c r="T89" s="166" t="s">
        <v>58</v>
      </c>
      <c r="U89" s="168" t="s">
        <v>170</v>
      </c>
      <c r="V89" s="224"/>
      <c r="W89" s="166"/>
    </row>
    <row r="90" ht="21" customHeight="1" spans="1:23">
      <c r="A90" s="166"/>
      <c r="B90" s="166"/>
      <c r="C90" s="166">
        <v>1503</v>
      </c>
      <c r="D90" s="13" t="s">
        <v>171</v>
      </c>
      <c r="E90" s="168">
        <v>640.92</v>
      </c>
      <c r="F90" s="166">
        <v>640.92</v>
      </c>
      <c r="G90" s="173">
        <v>115</v>
      </c>
      <c r="H90" s="13" t="s">
        <v>33</v>
      </c>
      <c r="I90" s="166">
        <v>115</v>
      </c>
      <c r="J90" s="166">
        <f>ROUND(E90*G90,2)</f>
        <v>73705.8</v>
      </c>
      <c r="K90" s="166">
        <f>ROUND(J90*1.03,2)</f>
        <v>75916.97</v>
      </c>
      <c r="L90" s="166">
        <f>ROUND(K90*1.03,2)</f>
        <v>78194.48</v>
      </c>
      <c r="M90" s="13" t="s">
        <v>33</v>
      </c>
      <c r="N90" s="13" t="s">
        <v>33</v>
      </c>
      <c r="O90" s="13" t="s">
        <v>172</v>
      </c>
      <c r="P90" s="13" t="s">
        <v>173</v>
      </c>
      <c r="Q90" s="166">
        <v>3</v>
      </c>
      <c r="R90" s="166">
        <v>2</v>
      </c>
      <c r="S90" s="171">
        <v>0.03</v>
      </c>
      <c r="T90" s="13" t="s">
        <v>38</v>
      </c>
      <c r="U90" s="167" t="s">
        <v>174</v>
      </c>
      <c r="V90" s="224"/>
      <c r="W90" s="166"/>
    </row>
    <row r="91" ht="21" customHeight="1" spans="1:23">
      <c r="A91" s="166"/>
      <c r="B91" s="166"/>
      <c r="C91" s="85" t="s">
        <v>175</v>
      </c>
      <c r="D91" s="85" t="s">
        <v>176</v>
      </c>
      <c r="E91" s="89">
        <v>76.43</v>
      </c>
      <c r="F91" s="85">
        <v>76.43</v>
      </c>
      <c r="G91" s="90">
        <v>115</v>
      </c>
      <c r="H91" s="226">
        <v>0.7</v>
      </c>
      <c r="I91" s="85">
        <f>ROUND(H91*G91,2)</f>
        <v>80.5</v>
      </c>
      <c r="J91" s="227">
        <f>ROUND(I91*E91,2)</f>
        <v>6152.62</v>
      </c>
      <c r="K91" s="227">
        <f>ROUND(J91*1.03,2)</f>
        <v>6337.2</v>
      </c>
      <c r="L91" s="227">
        <f>ROUND(K91*1.03,2)</f>
        <v>6527.32</v>
      </c>
      <c r="M91" s="93" t="s">
        <v>33</v>
      </c>
      <c r="N91" s="93" t="s">
        <v>33</v>
      </c>
      <c r="O91" s="85" t="s">
        <v>177</v>
      </c>
      <c r="P91" s="85" t="s">
        <v>178</v>
      </c>
      <c r="Q91" s="215">
        <v>3</v>
      </c>
      <c r="R91" s="166">
        <v>2</v>
      </c>
      <c r="S91" s="171">
        <v>0.03</v>
      </c>
      <c r="T91" s="13" t="s">
        <v>38</v>
      </c>
      <c r="U91" s="167" t="s">
        <v>179</v>
      </c>
      <c r="V91" s="224"/>
      <c r="W91" s="166"/>
    </row>
    <row r="92" s="40" customFormat="1" ht="21" customHeight="1" spans="1:23">
      <c r="A92" s="166"/>
      <c r="B92" s="166"/>
      <c r="C92" s="13" t="s">
        <v>180</v>
      </c>
      <c r="D92" s="13" t="s">
        <v>181</v>
      </c>
      <c r="E92" s="167">
        <v>196.27</v>
      </c>
      <c r="F92" s="13">
        <v>196.27</v>
      </c>
      <c r="G92" s="170">
        <v>115</v>
      </c>
      <c r="H92" s="184">
        <v>0.7</v>
      </c>
      <c r="I92" s="13">
        <f>ROUND(H92*G92,2)</f>
        <v>80.5</v>
      </c>
      <c r="J92" s="183">
        <f>ROUND(I92*E92,2)</f>
        <v>15799.74</v>
      </c>
      <c r="K92" s="183">
        <f>ROUND(J92*1.03,2)</f>
        <v>16273.73</v>
      </c>
      <c r="L92" s="183">
        <f>ROUND(K92*1.03,2)</f>
        <v>16761.94</v>
      </c>
      <c r="M92" s="186" t="s">
        <v>33</v>
      </c>
      <c r="N92" s="186" t="s">
        <v>33</v>
      </c>
      <c r="O92" s="13" t="s">
        <v>182</v>
      </c>
      <c r="P92" s="13" t="s">
        <v>183</v>
      </c>
      <c r="Q92" s="166">
        <v>3</v>
      </c>
      <c r="R92" s="166">
        <v>0</v>
      </c>
      <c r="S92" s="171">
        <v>0.03</v>
      </c>
      <c r="T92" s="13" t="s">
        <v>184</v>
      </c>
      <c r="U92" s="167" t="s">
        <v>185</v>
      </c>
      <c r="V92" s="224"/>
      <c r="W92" s="166"/>
    </row>
    <row r="93" s="40" customFormat="1" ht="21" customHeight="1" spans="1:23">
      <c r="A93" s="166"/>
      <c r="B93" s="166"/>
      <c r="C93" s="166">
        <v>16</v>
      </c>
      <c r="D93" s="166" t="s">
        <v>186</v>
      </c>
      <c r="E93" s="167">
        <v>1759.38</v>
      </c>
      <c r="F93" s="13">
        <v>1759.38</v>
      </c>
      <c r="G93" s="173">
        <v>116</v>
      </c>
      <c r="H93" s="171">
        <v>0.4</v>
      </c>
      <c r="I93" s="166">
        <v>46.4</v>
      </c>
      <c r="J93" s="183">
        <f>ROUND(I93*E93,2)</f>
        <v>81635.23</v>
      </c>
      <c r="K93" s="183">
        <v>81635.23</v>
      </c>
      <c r="L93" s="183">
        <v>81635.23</v>
      </c>
      <c r="M93" s="186" t="s">
        <v>33</v>
      </c>
      <c r="N93" s="186" t="s">
        <v>33</v>
      </c>
      <c r="O93" s="13" t="s">
        <v>34</v>
      </c>
      <c r="P93" s="13" t="s">
        <v>35</v>
      </c>
      <c r="Q93" s="166">
        <v>3</v>
      </c>
      <c r="R93" s="166">
        <v>0</v>
      </c>
      <c r="S93" s="184" t="s">
        <v>37</v>
      </c>
      <c r="T93" s="13" t="s">
        <v>187</v>
      </c>
      <c r="U93" s="225" t="s">
        <v>88</v>
      </c>
      <c r="V93" s="224"/>
      <c r="W93" s="166"/>
    </row>
    <row r="94" s="157" customFormat="1" ht="21" customHeight="1" spans="1:23">
      <c r="A94" s="13"/>
      <c r="B94" s="13"/>
      <c r="C94" s="13">
        <v>1701</v>
      </c>
      <c r="D94" s="13" t="s">
        <v>188</v>
      </c>
      <c r="E94" s="167">
        <v>903.42</v>
      </c>
      <c r="F94" s="13">
        <v>903.42</v>
      </c>
      <c r="G94" s="170">
        <v>117</v>
      </c>
      <c r="H94" s="184">
        <v>0.3</v>
      </c>
      <c r="I94" s="13">
        <v>35.1</v>
      </c>
      <c r="J94" s="186">
        <f>ROUND(I94*E94,2)</f>
        <v>31710.04</v>
      </c>
      <c r="K94" s="186">
        <v>31710.04</v>
      </c>
      <c r="L94" s="186">
        <v>31710.04</v>
      </c>
      <c r="M94" s="186">
        <v>31710.04</v>
      </c>
      <c r="N94" s="186">
        <v>31710.04</v>
      </c>
      <c r="O94" s="13" t="s">
        <v>189</v>
      </c>
      <c r="P94" s="13" t="s">
        <v>190</v>
      </c>
      <c r="Q94" s="13">
        <v>5</v>
      </c>
      <c r="R94" s="13">
        <v>4</v>
      </c>
      <c r="S94" s="184" t="s">
        <v>37</v>
      </c>
      <c r="T94" s="13" t="s">
        <v>38</v>
      </c>
      <c r="U94" s="225" t="s">
        <v>191</v>
      </c>
      <c r="V94" s="228"/>
      <c r="W94" s="13"/>
    </row>
    <row r="95" ht="21" customHeight="1" spans="1:23">
      <c r="A95" s="166"/>
      <c r="B95" s="166"/>
      <c r="C95" s="166">
        <v>1702</v>
      </c>
      <c r="D95" s="13" t="s">
        <v>192</v>
      </c>
      <c r="E95" s="167">
        <v>855.96</v>
      </c>
      <c r="F95" s="13">
        <v>855.96</v>
      </c>
      <c r="G95" s="173">
        <v>117</v>
      </c>
      <c r="H95" s="171">
        <v>0.4</v>
      </c>
      <c r="I95" s="166">
        <f>ROUND(H95*G95,2)</f>
        <v>46.8</v>
      </c>
      <c r="J95" s="183">
        <f>ROUND(I95*E95,2)</f>
        <v>40058.93</v>
      </c>
      <c r="K95" s="183">
        <v>40058.93</v>
      </c>
      <c r="L95" s="183">
        <v>40058.93</v>
      </c>
      <c r="M95" s="186" t="s">
        <v>33</v>
      </c>
      <c r="N95" s="186" t="s">
        <v>33</v>
      </c>
      <c r="O95" s="13" t="s">
        <v>193</v>
      </c>
      <c r="P95" s="13" t="s">
        <v>194</v>
      </c>
      <c r="Q95" s="166">
        <v>3</v>
      </c>
      <c r="R95" s="166">
        <v>3</v>
      </c>
      <c r="S95" s="184" t="s">
        <v>37</v>
      </c>
      <c r="T95" s="13" t="s">
        <v>38</v>
      </c>
      <c r="U95" s="167" t="s">
        <v>195</v>
      </c>
      <c r="V95" s="224"/>
      <c r="W95" s="216"/>
    </row>
    <row r="96" ht="21" customHeight="1" spans="1:23">
      <c r="A96" s="166"/>
      <c r="B96" s="166"/>
      <c r="C96" s="166" t="s">
        <v>196</v>
      </c>
      <c r="D96" s="166" t="s">
        <v>197</v>
      </c>
      <c r="E96" s="168">
        <v>1331.99</v>
      </c>
      <c r="F96" s="166">
        <v>1331.99</v>
      </c>
      <c r="G96" s="173">
        <v>127</v>
      </c>
      <c r="H96" s="171">
        <v>0.7</v>
      </c>
      <c r="I96" s="166">
        <v>88.9</v>
      </c>
      <c r="J96" s="183">
        <v>118413.91</v>
      </c>
      <c r="K96" s="183">
        <v>121966.33</v>
      </c>
      <c r="L96" s="183">
        <v>125625.32</v>
      </c>
      <c r="M96" s="183">
        <v>129394.08</v>
      </c>
      <c r="N96" s="186" t="s">
        <v>198</v>
      </c>
      <c r="O96" s="166" t="s">
        <v>106</v>
      </c>
      <c r="P96" s="166" t="s">
        <v>107</v>
      </c>
      <c r="Q96" s="166">
        <v>5</v>
      </c>
      <c r="R96" s="166">
        <v>3</v>
      </c>
      <c r="S96" s="171">
        <v>0.03</v>
      </c>
      <c r="T96" s="166" t="s">
        <v>58</v>
      </c>
      <c r="U96" s="168" t="s">
        <v>199</v>
      </c>
      <c r="V96" s="224"/>
      <c r="W96" s="166"/>
    </row>
    <row r="97" s="40" customFormat="1" ht="21" customHeight="1" spans="1:23">
      <c r="A97" s="166"/>
      <c r="B97" s="166"/>
      <c r="C97" s="166">
        <v>1804</v>
      </c>
      <c r="D97" s="216" t="s">
        <v>91</v>
      </c>
      <c r="E97" s="168">
        <v>427.39</v>
      </c>
      <c r="F97" s="166">
        <v>427.39</v>
      </c>
      <c r="G97" s="173"/>
      <c r="H97" s="166"/>
      <c r="I97" s="166"/>
      <c r="J97" s="183"/>
      <c r="K97" s="183"/>
      <c r="L97" s="183"/>
      <c r="M97" s="186"/>
      <c r="N97" s="186"/>
      <c r="O97" s="166"/>
      <c r="P97" s="166"/>
      <c r="Q97" s="166"/>
      <c r="R97" s="166"/>
      <c r="S97" s="171"/>
      <c r="T97" s="166"/>
      <c r="U97" s="168"/>
      <c r="V97" s="224"/>
      <c r="W97" s="166" t="s">
        <v>200</v>
      </c>
    </row>
    <row r="98" ht="21" customHeight="1" spans="1:23">
      <c r="A98" s="166"/>
      <c r="B98" s="166"/>
      <c r="C98" s="215">
        <v>1901</v>
      </c>
      <c r="D98" s="85" t="s">
        <v>201</v>
      </c>
      <c r="E98" s="214">
        <v>498.06</v>
      </c>
      <c r="F98" s="215">
        <v>498.06</v>
      </c>
      <c r="G98" s="213">
        <v>119</v>
      </c>
      <c r="H98" s="215"/>
      <c r="I98" s="215"/>
      <c r="J98" s="215"/>
      <c r="K98" s="215"/>
      <c r="L98" s="215"/>
      <c r="M98" s="215"/>
      <c r="N98" s="215"/>
      <c r="O98" s="215"/>
      <c r="P98" s="215"/>
      <c r="Q98" s="215"/>
      <c r="R98" s="215"/>
      <c r="S98" s="215"/>
      <c r="T98" s="215"/>
      <c r="U98" s="214"/>
      <c r="V98" s="224"/>
      <c r="W98" s="166"/>
    </row>
    <row r="99" ht="28.5" customHeight="1" spans="1:23">
      <c r="A99" s="166"/>
      <c r="B99" s="166"/>
      <c r="C99" s="166">
        <v>1902</v>
      </c>
      <c r="D99" s="13" t="s">
        <v>202</v>
      </c>
      <c r="E99" s="168">
        <v>225.06</v>
      </c>
      <c r="F99" s="166">
        <v>225.06</v>
      </c>
      <c r="G99" s="173">
        <v>119</v>
      </c>
      <c r="H99" s="166">
        <v>0</v>
      </c>
      <c r="I99" s="166">
        <v>120</v>
      </c>
      <c r="J99" s="183">
        <v>27007.2</v>
      </c>
      <c r="K99" s="186" t="s">
        <v>33</v>
      </c>
      <c r="L99" s="186" t="s">
        <v>33</v>
      </c>
      <c r="M99" s="186" t="s">
        <v>33</v>
      </c>
      <c r="N99" s="186" t="s">
        <v>33</v>
      </c>
      <c r="O99" s="166" t="s">
        <v>203</v>
      </c>
      <c r="P99" s="166" t="s">
        <v>204</v>
      </c>
      <c r="Q99" s="166">
        <v>1</v>
      </c>
      <c r="R99" s="166">
        <v>0</v>
      </c>
      <c r="S99" s="171">
        <v>0.03</v>
      </c>
      <c r="T99" s="166" t="s">
        <v>205</v>
      </c>
      <c r="U99" s="168" t="s">
        <v>206</v>
      </c>
      <c r="V99" s="224"/>
      <c r="W99" s="166" t="s">
        <v>207</v>
      </c>
    </row>
    <row r="100" ht="21" customHeight="1" spans="1:23">
      <c r="A100" s="166"/>
      <c r="B100" s="166"/>
      <c r="C100" s="229" t="s">
        <v>208</v>
      </c>
      <c r="D100" s="166" t="s">
        <v>209</v>
      </c>
      <c r="E100" s="168">
        <v>160.28</v>
      </c>
      <c r="F100" s="166">
        <v>160.28</v>
      </c>
      <c r="G100" s="173">
        <v>119</v>
      </c>
      <c r="H100" s="166">
        <v>0</v>
      </c>
      <c r="I100" s="166">
        <v>140</v>
      </c>
      <c r="J100" s="183">
        <v>22439.2</v>
      </c>
      <c r="K100" s="186" t="s">
        <v>33</v>
      </c>
      <c r="L100" s="186" t="s">
        <v>33</v>
      </c>
      <c r="M100" s="186" t="s">
        <v>33</v>
      </c>
      <c r="N100" s="186" t="s">
        <v>33</v>
      </c>
      <c r="O100" s="166" t="s">
        <v>210</v>
      </c>
      <c r="P100" s="166" t="s">
        <v>211</v>
      </c>
      <c r="Q100" s="166">
        <v>1</v>
      </c>
      <c r="R100" s="166">
        <v>1</v>
      </c>
      <c r="S100" s="171">
        <v>0.03</v>
      </c>
      <c r="T100" s="166" t="s">
        <v>205</v>
      </c>
      <c r="U100" s="168" t="s">
        <v>206</v>
      </c>
      <c r="V100" s="224"/>
      <c r="W100" s="166" t="s">
        <v>207</v>
      </c>
    </row>
    <row r="101" s="155" customFormat="1" ht="21" customHeight="1" spans="1:23">
      <c r="A101" s="176"/>
      <c r="B101" s="176"/>
      <c r="C101" s="230" t="s">
        <v>212</v>
      </c>
      <c r="D101" s="176" t="s">
        <v>213</v>
      </c>
      <c r="E101" s="185">
        <v>875.98</v>
      </c>
      <c r="F101" s="176">
        <v>875.98</v>
      </c>
      <c r="G101" s="179">
        <v>114</v>
      </c>
      <c r="H101" s="180">
        <v>0.3</v>
      </c>
      <c r="I101" s="176">
        <f>ROUND(H101*G101,2)</f>
        <v>34.2</v>
      </c>
      <c r="J101" s="181">
        <f>ROUND(I101*E101,2)</f>
        <v>29958.52</v>
      </c>
      <c r="K101" s="181">
        <v>29958.52</v>
      </c>
      <c r="L101" s="181">
        <v>29958.52</v>
      </c>
      <c r="M101" s="181">
        <v>29958.52</v>
      </c>
      <c r="N101" s="181">
        <v>29958.52</v>
      </c>
      <c r="O101" s="69" t="s">
        <v>214</v>
      </c>
      <c r="P101" s="69" t="s">
        <v>215</v>
      </c>
      <c r="Q101" s="176">
        <v>5</v>
      </c>
      <c r="R101" s="69" t="s">
        <v>36</v>
      </c>
      <c r="S101" s="182" t="s">
        <v>33</v>
      </c>
      <c r="T101" s="69" t="s">
        <v>38</v>
      </c>
      <c r="U101" s="75" t="s">
        <v>216</v>
      </c>
      <c r="V101" s="231"/>
      <c r="W101" s="176"/>
    </row>
    <row r="102" s="158" customFormat="1" ht="21" customHeight="1" spans="1:23">
      <c r="A102" s="69"/>
      <c r="B102" s="69"/>
      <c r="C102" s="69">
        <v>20</v>
      </c>
      <c r="D102" s="69" t="s">
        <v>217</v>
      </c>
      <c r="E102" s="75">
        <v>1759.38</v>
      </c>
      <c r="F102" s="69">
        <v>1759.38</v>
      </c>
      <c r="G102" s="76">
        <v>120</v>
      </c>
      <c r="H102" s="182" t="s">
        <v>218</v>
      </c>
      <c r="I102" s="69" t="s">
        <v>219</v>
      </c>
      <c r="J102" s="77" t="s">
        <v>220</v>
      </c>
      <c r="K102" s="77">
        <v>296807.41</v>
      </c>
      <c r="L102" s="77">
        <v>296807.41</v>
      </c>
      <c r="M102" s="178" t="s">
        <v>33</v>
      </c>
      <c r="N102" s="178" t="s">
        <v>33</v>
      </c>
      <c r="O102" s="69" t="s">
        <v>221</v>
      </c>
      <c r="P102" s="69" t="s">
        <v>222</v>
      </c>
      <c r="Q102" s="69">
        <v>3</v>
      </c>
      <c r="R102" s="69">
        <v>4</v>
      </c>
      <c r="S102" s="182" t="s">
        <v>37</v>
      </c>
      <c r="T102" s="69" t="s">
        <v>38</v>
      </c>
      <c r="U102" s="232" t="s">
        <v>223</v>
      </c>
      <c r="V102" s="233"/>
      <c r="W102" s="234" t="s">
        <v>224</v>
      </c>
    </row>
    <row r="103" s="158" customFormat="1" ht="21" customHeight="1" spans="1:23">
      <c r="A103" s="69"/>
      <c r="B103" s="69"/>
      <c r="C103" s="69">
        <v>21</v>
      </c>
      <c r="D103" s="69" t="s">
        <v>217</v>
      </c>
      <c r="E103" s="75">
        <v>1759.38</v>
      </c>
      <c r="F103" s="69">
        <v>1759.38</v>
      </c>
      <c r="G103" s="76">
        <v>121</v>
      </c>
      <c r="H103" s="182" t="s">
        <v>218</v>
      </c>
      <c r="I103" s="69" t="s">
        <v>225</v>
      </c>
      <c r="J103" s="80"/>
      <c r="K103" s="80"/>
      <c r="L103" s="80"/>
      <c r="M103" s="178" t="s">
        <v>33</v>
      </c>
      <c r="N103" s="178" t="s">
        <v>33</v>
      </c>
      <c r="O103" s="69" t="s">
        <v>221</v>
      </c>
      <c r="P103" s="69" t="s">
        <v>222</v>
      </c>
      <c r="Q103" s="69">
        <v>3</v>
      </c>
      <c r="R103" s="69">
        <v>4</v>
      </c>
      <c r="S103" s="182" t="s">
        <v>37</v>
      </c>
      <c r="T103" s="69" t="s">
        <v>38</v>
      </c>
      <c r="U103" s="232" t="s">
        <v>223</v>
      </c>
      <c r="V103" s="233"/>
      <c r="W103" s="235"/>
    </row>
    <row r="104" ht="21" customHeight="1" spans="1:23">
      <c r="A104" s="166"/>
      <c r="B104" s="166"/>
      <c r="C104" s="166">
        <v>22</v>
      </c>
      <c r="D104" s="166" t="s">
        <v>226</v>
      </c>
      <c r="E104" s="13">
        <v>1759.38</v>
      </c>
      <c r="F104" s="13">
        <v>1759.38</v>
      </c>
      <c r="G104" s="173">
        <v>131</v>
      </c>
      <c r="H104" s="171">
        <v>0.5</v>
      </c>
      <c r="I104" s="166">
        <v>65.5</v>
      </c>
      <c r="J104" s="166">
        <v>230096.8</v>
      </c>
      <c r="K104" s="183">
        <v>236999.7</v>
      </c>
      <c r="L104" s="183">
        <v>244109.69</v>
      </c>
      <c r="M104" s="183">
        <v>251432.98</v>
      </c>
      <c r="N104" s="183">
        <f>J138</f>
        <v>54447.32</v>
      </c>
      <c r="O104" s="166" t="s">
        <v>227</v>
      </c>
      <c r="P104" s="166" t="s">
        <v>169</v>
      </c>
      <c r="Q104" s="166">
        <v>5</v>
      </c>
      <c r="R104" s="166">
        <v>3</v>
      </c>
      <c r="S104" s="171">
        <v>0.03</v>
      </c>
      <c r="T104" s="166" t="s">
        <v>58</v>
      </c>
      <c r="U104" s="167" t="s">
        <v>228</v>
      </c>
      <c r="V104" s="224"/>
      <c r="W104" s="166"/>
    </row>
    <row r="105" ht="21" customHeight="1" spans="1:23">
      <c r="A105" s="166"/>
      <c r="B105" s="166"/>
      <c r="C105" s="166">
        <v>23</v>
      </c>
      <c r="D105" s="212" t="s">
        <v>92</v>
      </c>
      <c r="E105" s="85">
        <v>1759.38</v>
      </c>
      <c r="F105" s="85">
        <v>1759.38</v>
      </c>
      <c r="G105" s="213">
        <v>123</v>
      </c>
      <c r="H105" s="171"/>
      <c r="I105" s="166"/>
      <c r="J105" s="198"/>
      <c r="K105" s="195"/>
      <c r="L105" s="195"/>
      <c r="M105" s="195"/>
      <c r="N105" s="195"/>
      <c r="O105" s="166"/>
      <c r="P105" s="166"/>
      <c r="Q105" s="166"/>
      <c r="R105" s="166"/>
      <c r="S105" s="171"/>
      <c r="T105" s="166"/>
      <c r="U105" s="168"/>
      <c r="V105" s="224"/>
      <c r="W105" s="166"/>
    </row>
    <row r="106" ht="21" customHeight="1" spans="1:23">
      <c r="A106" s="168"/>
      <c r="B106" s="13" t="s">
        <v>229</v>
      </c>
      <c r="C106" s="173">
        <v>4</v>
      </c>
      <c r="D106" s="218" t="s">
        <v>230</v>
      </c>
      <c r="E106" s="167">
        <v>2730.81</v>
      </c>
      <c r="F106" s="13">
        <v>2730.81</v>
      </c>
      <c r="G106" s="172">
        <v>119</v>
      </c>
      <c r="H106" s="184" t="s">
        <v>33</v>
      </c>
      <c r="I106" s="175" t="s">
        <v>33</v>
      </c>
      <c r="J106" s="206" t="s">
        <v>33</v>
      </c>
      <c r="K106" s="236" t="s">
        <v>33</v>
      </c>
      <c r="L106" s="236" t="s">
        <v>33</v>
      </c>
      <c r="M106" s="53" t="s">
        <v>33</v>
      </c>
      <c r="N106" s="52" t="s">
        <v>33</v>
      </c>
      <c r="O106" s="13" t="s">
        <v>33</v>
      </c>
      <c r="P106" s="170" t="s">
        <v>33</v>
      </c>
      <c r="Q106" s="170" t="s">
        <v>33</v>
      </c>
      <c r="R106" s="170" t="s">
        <v>33</v>
      </c>
      <c r="S106" s="237" t="s">
        <v>33</v>
      </c>
      <c r="T106" s="170" t="s">
        <v>33</v>
      </c>
      <c r="U106" s="172"/>
      <c r="V106" s="169"/>
      <c r="W106" s="173"/>
    </row>
    <row r="107" ht="21" customHeight="1" spans="1:23">
      <c r="A107" s="168"/>
      <c r="B107" s="13"/>
      <c r="C107" s="173">
        <v>5</v>
      </c>
      <c r="D107" s="166" t="s">
        <v>231</v>
      </c>
      <c r="E107" s="168">
        <v>1480.97</v>
      </c>
      <c r="F107" s="166">
        <v>1480.97</v>
      </c>
      <c r="G107" s="172">
        <v>119</v>
      </c>
      <c r="H107" s="171">
        <v>0.3</v>
      </c>
      <c r="I107" s="172">
        <v>35.7</v>
      </c>
      <c r="J107" s="188">
        <v>114685.15</v>
      </c>
      <c r="K107" s="238">
        <v>118125.7</v>
      </c>
      <c r="L107" s="238">
        <v>121669.47</v>
      </c>
      <c r="M107" s="239" t="s">
        <v>33</v>
      </c>
      <c r="N107" s="240" t="s">
        <v>33</v>
      </c>
      <c r="O107" s="241" t="s">
        <v>232</v>
      </c>
      <c r="P107" s="242" t="s">
        <v>233</v>
      </c>
      <c r="Q107" s="243">
        <v>3</v>
      </c>
      <c r="R107" s="242" t="s">
        <v>36</v>
      </c>
      <c r="S107" s="244">
        <v>0.03</v>
      </c>
      <c r="T107" s="49" t="s">
        <v>58</v>
      </c>
      <c r="U107" s="49" t="s">
        <v>234</v>
      </c>
      <c r="V107" s="49" t="s">
        <v>59</v>
      </c>
      <c r="W107" s="173"/>
    </row>
    <row r="108" ht="21" customHeight="1" spans="1:23">
      <c r="A108" s="168"/>
      <c r="B108" s="13"/>
      <c r="C108" s="173">
        <v>6</v>
      </c>
      <c r="D108" s="13" t="s">
        <v>231</v>
      </c>
      <c r="E108" s="168">
        <v>1717.07</v>
      </c>
      <c r="F108" s="166">
        <v>1717.07</v>
      </c>
      <c r="G108" s="172">
        <v>120</v>
      </c>
      <c r="H108" s="245">
        <v>0.3</v>
      </c>
      <c r="I108" s="172">
        <v>36</v>
      </c>
      <c r="J108" s="193"/>
      <c r="K108" s="246"/>
      <c r="L108" s="246"/>
      <c r="M108" s="239" t="s">
        <v>33</v>
      </c>
      <c r="N108" s="240" t="s">
        <v>33</v>
      </c>
      <c r="O108" s="247"/>
      <c r="P108" s="248"/>
      <c r="Q108" s="248"/>
      <c r="R108" s="248"/>
      <c r="S108" s="249"/>
      <c r="T108" s="169"/>
      <c r="U108" s="53"/>
      <c r="V108" s="224"/>
      <c r="W108" s="173"/>
    </row>
    <row r="109" ht="21" customHeight="1" spans="1:23">
      <c r="A109" s="168"/>
      <c r="B109" s="13"/>
      <c r="C109" s="213">
        <v>7</v>
      </c>
      <c r="D109" s="212" t="s">
        <v>92</v>
      </c>
      <c r="E109" s="214">
        <v>1717.07</v>
      </c>
      <c r="F109" s="215">
        <v>1717.07</v>
      </c>
      <c r="G109" s="213">
        <v>103</v>
      </c>
      <c r="H109" s="215"/>
      <c r="I109" s="215"/>
      <c r="J109" s="189"/>
      <c r="K109" s="189"/>
      <c r="L109" s="189"/>
      <c r="M109" s="189"/>
      <c r="N109" s="189"/>
      <c r="O109" s="189"/>
      <c r="P109" s="189"/>
      <c r="Q109" s="189"/>
      <c r="R109" s="189"/>
      <c r="S109" s="189"/>
      <c r="T109" s="215"/>
      <c r="U109" s="215"/>
      <c r="V109" s="224"/>
      <c r="W109" s="173"/>
    </row>
    <row r="110" s="40" customFormat="1" ht="38.25" customHeight="1" spans="1:23">
      <c r="A110" s="168"/>
      <c r="B110" s="13"/>
      <c r="C110" s="173">
        <v>801</v>
      </c>
      <c r="D110" s="166" t="s">
        <v>235</v>
      </c>
      <c r="E110" s="168">
        <v>1133.73</v>
      </c>
      <c r="F110" s="166">
        <v>1133.73</v>
      </c>
      <c r="G110" s="170">
        <v>104</v>
      </c>
      <c r="H110" s="171">
        <v>0.3</v>
      </c>
      <c r="I110" s="13">
        <v>31.2</v>
      </c>
      <c r="J110" s="186">
        <v>35372.38</v>
      </c>
      <c r="K110" s="186">
        <v>35372.38</v>
      </c>
      <c r="L110" s="186">
        <v>35372.38</v>
      </c>
      <c r="M110" s="186" t="s">
        <v>33</v>
      </c>
      <c r="N110" s="186" t="s">
        <v>33</v>
      </c>
      <c r="O110" s="13" t="s">
        <v>61</v>
      </c>
      <c r="P110" s="13" t="s">
        <v>134</v>
      </c>
      <c r="Q110" s="13">
        <v>3</v>
      </c>
      <c r="R110" s="13" t="s">
        <v>36</v>
      </c>
      <c r="S110" s="184" t="s">
        <v>37</v>
      </c>
      <c r="T110" s="13" t="s">
        <v>38</v>
      </c>
      <c r="U110" s="13" t="s">
        <v>114</v>
      </c>
      <c r="V110" s="224"/>
      <c r="W110" s="170" t="s">
        <v>236</v>
      </c>
    </row>
    <row r="111" ht="21" customHeight="1" spans="1:23">
      <c r="A111" s="168"/>
      <c r="B111" s="13"/>
      <c r="C111" s="173">
        <v>802</v>
      </c>
      <c r="D111" s="13" t="s">
        <v>76</v>
      </c>
      <c r="E111" s="168">
        <v>583.34</v>
      </c>
      <c r="F111" s="166">
        <v>583.34</v>
      </c>
      <c r="G111" s="173">
        <v>110</v>
      </c>
      <c r="H111" s="171">
        <v>0.3</v>
      </c>
      <c r="I111" s="166">
        <v>33</v>
      </c>
      <c r="J111" s="187">
        <v>19250.22</v>
      </c>
      <c r="K111" s="187">
        <v>19250.22</v>
      </c>
      <c r="L111" s="187">
        <v>19250.22</v>
      </c>
      <c r="M111" s="187">
        <v>19250.22</v>
      </c>
      <c r="N111" s="187">
        <v>19250.22</v>
      </c>
      <c r="O111" s="189" t="s">
        <v>77</v>
      </c>
      <c r="P111" s="189" t="s">
        <v>78</v>
      </c>
      <c r="Q111" s="189">
        <v>3</v>
      </c>
      <c r="R111" s="190" t="s">
        <v>36</v>
      </c>
      <c r="S111" s="189" t="s">
        <v>37</v>
      </c>
      <c r="T111" s="166" t="s">
        <v>85</v>
      </c>
      <c r="U111" s="166" t="s">
        <v>237</v>
      </c>
      <c r="V111" s="224"/>
      <c r="W111" s="173"/>
    </row>
    <row r="112" ht="21" customHeight="1" spans="1:23">
      <c r="A112" s="168"/>
      <c r="B112" s="13"/>
      <c r="C112" s="173">
        <v>9</v>
      </c>
      <c r="D112" s="166" t="s">
        <v>238</v>
      </c>
      <c r="E112" s="168">
        <v>1717.07</v>
      </c>
      <c r="F112" s="166">
        <v>1717.07</v>
      </c>
      <c r="G112" s="173">
        <v>120</v>
      </c>
      <c r="H112" s="171">
        <v>0.3</v>
      </c>
      <c r="I112" s="166">
        <v>36</v>
      </c>
      <c r="J112" s="187">
        <v>61814.52</v>
      </c>
      <c r="K112" s="187">
        <v>63668.96</v>
      </c>
      <c r="L112" s="187">
        <v>65579.03</v>
      </c>
      <c r="M112" s="196" t="s">
        <v>33</v>
      </c>
      <c r="N112" s="196" t="s">
        <v>33</v>
      </c>
      <c r="O112" s="189" t="s">
        <v>239</v>
      </c>
      <c r="P112" s="189" t="s">
        <v>240</v>
      </c>
      <c r="Q112" s="189">
        <v>3</v>
      </c>
      <c r="R112" s="189" t="s">
        <v>36</v>
      </c>
      <c r="S112" s="191">
        <v>0.03</v>
      </c>
      <c r="T112" s="166" t="s">
        <v>58</v>
      </c>
      <c r="U112" s="166" t="s">
        <v>241</v>
      </c>
      <c r="V112" s="224"/>
      <c r="W112" s="173"/>
    </row>
    <row r="113" ht="21" customHeight="1" spans="1:23">
      <c r="A113" s="168"/>
      <c r="B113" s="13"/>
      <c r="C113" s="173">
        <v>10</v>
      </c>
      <c r="D113" s="166" t="s">
        <v>242</v>
      </c>
      <c r="E113" s="168">
        <v>1717.07</v>
      </c>
      <c r="F113" s="166">
        <v>1717.07</v>
      </c>
      <c r="G113" s="173">
        <v>121</v>
      </c>
      <c r="H113" s="171">
        <v>0.5</v>
      </c>
      <c r="I113" s="166">
        <v>60.5</v>
      </c>
      <c r="J113" s="194">
        <v>629914.47</v>
      </c>
      <c r="K113" s="206" t="s">
        <v>243</v>
      </c>
      <c r="L113" s="194">
        <v>1336552.49</v>
      </c>
      <c r="M113" s="206" t="s">
        <v>33</v>
      </c>
      <c r="N113" s="206" t="s">
        <v>33</v>
      </c>
      <c r="O113" s="166" t="s">
        <v>244</v>
      </c>
      <c r="P113" s="166" t="s">
        <v>245</v>
      </c>
      <c r="Q113" s="166">
        <v>3</v>
      </c>
      <c r="R113" s="166" t="s">
        <v>33</v>
      </c>
      <c r="S113" s="171">
        <v>0.03</v>
      </c>
      <c r="T113" s="166" t="s">
        <v>38</v>
      </c>
      <c r="U113" s="166" t="s">
        <v>246</v>
      </c>
      <c r="V113" s="224"/>
      <c r="W113" s="173"/>
    </row>
    <row r="114" ht="21" customHeight="1" spans="1:23">
      <c r="A114" s="168"/>
      <c r="B114" s="13"/>
      <c r="C114" s="173">
        <v>11</v>
      </c>
      <c r="D114" s="13" t="s">
        <v>242</v>
      </c>
      <c r="E114" s="168">
        <v>1717.07</v>
      </c>
      <c r="F114" s="166">
        <v>1717.07</v>
      </c>
      <c r="G114" s="173">
        <v>121</v>
      </c>
      <c r="H114" s="171">
        <v>0.5</v>
      </c>
      <c r="I114" s="166">
        <v>60.5</v>
      </c>
      <c r="J114" s="211"/>
      <c r="K114" s="211"/>
      <c r="L114" s="211"/>
      <c r="M114" s="211"/>
      <c r="N114" s="211"/>
      <c r="O114" s="166"/>
      <c r="P114" s="166"/>
      <c r="Q114" s="166"/>
      <c r="R114" s="166"/>
      <c r="S114" s="171"/>
      <c r="T114" s="166"/>
      <c r="U114" s="166"/>
      <c r="V114" s="224"/>
      <c r="W114" s="173"/>
    </row>
    <row r="115" ht="21" customHeight="1" spans="1:23">
      <c r="A115" s="168"/>
      <c r="B115" s="13"/>
      <c r="C115" s="173">
        <v>12</v>
      </c>
      <c r="D115" s="13" t="s">
        <v>242</v>
      </c>
      <c r="E115" s="168">
        <v>1717.07</v>
      </c>
      <c r="F115" s="166">
        <v>1717.07</v>
      </c>
      <c r="G115" s="173">
        <v>121</v>
      </c>
      <c r="H115" s="171">
        <v>0.5</v>
      </c>
      <c r="I115" s="166">
        <v>60.5</v>
      </c>
      <c r="J115" s="211"/>
      <c r="K115" s="211"/>
      <c r="L115" s="211"/>
      <c r="M115" s="211"/>
      <c r="N115" s="211"/>
      <c r="O115" s="166"/>
      <c r="P115" s="166"/>
      <c r="Q115" s="166"/>
      <c r="R115" s="166"/>
      <c r="S115" s="171"/>
      <c r="T115" s="166"/>
      <c r="U115" s="166"/>
      <c r="V115" s="224"/>
      <c r="W115" s="173"/>
    </row>
    <row r="116" ht="21" customHeight="1" spans="1:23">
      <c r="A116" s="168"/>
      <c r="B116" s="13"/>
      <c r="C116" s="173">
        <v>13</v>
      </c>
      <c r="D116" s="13" t="s">
        <v>242</v>
      </c>
      <c r="E116" s="168">
        <v>1717.07</v>
      </c>
      <c r="F116" s="166">
        <v>1717.07</v>
      </c>
      <c r="G116" s="173">
        <v>122</v>
      </c>
      <c r="H116" s="171">
        <v>0.5</v>
      </c>
      <c r="I116" s="166">
        <v>61</v>
      </c>
      <c r="J116" s="211"/>
      <c r="K116" s="211"/>
      <c r="L116" s="211"/>
      <c r="M116" s="211"/>
      <c r="N116" s="211"/>
      <c r="O116" s="166"/>
      <c r="P116" s="166"/>
      <c r="Q116" s="166"/>
      <c r="R116" s="166"/>
      <c r="S116" s="171"/>
      <c r="T116" s="166"/>
      <c r="U116" s="166"/>
      <c r="V116" s="224"/>
      <c r="W116" s="173"/>
    </row>
    <row r="117" ht="21" customHeight="1" spans="1:23">
      <c r="A117" s="168"/>
      <c r="B117" s="13"/>
      <c r="C117" s="173">
        <v>14</v>
      </c>
      <c r="D117" s="166" t="s">
        <v>242</v>
      </c>
      <c r="E117" s="168">
        <v>1685.02</v>
      </c>
      <c r="F117" s="166">
        <v>1685.02</v>
      </c>
      <c r="G117" s="173">
        <v>123</v>
      </c>
      <c r="H117" s="171">
        <v>0.5</v>
      </c>
      <c r="I117" s="166">
        <v>61.5</v>
      </c>
      <c r="J117" s="211"/>
      <c r="K117" s="211"/>
      <c r="L117" s="211"/>
      <c r="M117" s="211"/>
      <c r="N117" s="211"/>
      <c r="O117" s="166"/>
      <c r="P117" s="166"/>
      <c r="Q117" s="166"/>
      <c r="R117" s="166"/>
      <c r="S117" s="171"/>
      <c r="T117" s="166"/>
      <c r="U117" s="166"/>
      <c r="V117" s="224"/>
      <c r="W117" s="173"/>
    </row>
    <row r="118" ht="21" customHeight="1" spans="1:23">
      <c r="A118" s="168"/>
      <c r="B118" s="13"/>
      <c r="C118" s="173">
        <v>15</v>
      </c>
      <c r="D118" s="13" t="s">
        <v>242</v>
      </c>
      <c r="E118" s="168">
        <v>1758.34</v>
      </c>
      <c r="F118" s="166">
        <v>1758.34</v>
      </c>
      <c r="G118" s="173">
        <v>125</v>
      </c>
      <c r="H118" s="171">
        <v>0.5</v>
      </c>
      <c r="I118" s="166">
        <v>62.5</v>
      </c>
      <c r="J118" s="195"/>
      <c r="K118" s="195"/>
      <c r="L118" s="195"/>
      <c r="M118" s="195"/>
      <c r="N118" s="195"/>
      <c r="O118" s="166"/>
      <c r="P118" s="166"/>
      <c r="Q118" s="166"/>
      <c r="R118" s="166"/>
      <c r="S118" s="171"/>
      <c r="T118" s="166"/>
      <c r="U118" s="166"/>
      <c r="V118" s="224"/>
      <c r="W118" s="173"/>
    </row>
    <row r="119" ht="21" customHeight="1" spans="1:23">
      <c r="A119" s="168"/>
      <c r="B119" s="13"/>
      <c r="C119" s="173">
        <v>16</v>
      </c>
      <c r="D119" s="13" t="s">
        <v>247</v>
      </c>
      <c r="E119" s="168">
        <v>1758.34</v>
      </c>
      <c r="F119" s="166">
        <v>1758.34</v>
      </c>
      <c r="G119" s="173">
        <v>127</v>
      </c>
      <c r="H119" s="171">
        <v>0.3</v>
      </c>
      <c r="I119" s="166">
        <v>38.1</v>
      </c>
      <c r="J119" s="183">
        <v>204143.27</v>
      </c>
      <c r="K119" s="194">
        <v>210262.3</v>
      </c>
      <c r="L119" s="194">
        <v>216574.74</v>
      </c>
      <c r="M119" s="206" t="s">
        <v>33</v>
      </c>
      <c r="N119" s="206" t="s">
        <v>33</v>
      </c>
      <c r="O119" s="13" t="s">
        <v>244</v>
      </c>
      <c r="P119" s="13" t="s">
        <v>245</v>
      </c>
      <c r="Q119" s="166">
        <v>3</v>
      </c>
      <c r="R119" s="13" t="s">
        <v>36</v>
      </c>
      <c r="S119" s="171">
        <v>0.03</v>
      </c>
      <c r="T119" s="166" t="s">
        <v>58</v>
      </c>
      <c r="U119" s="166" t="s">
        <v>248</v>
      </c>
      <c r="V119" s="224"/>
      <c r="W119" s="173"/>
    </row>
    <row r="120" ht="21" customHeight="1" spans="1:23">
      <c r="A120" s="168"/>
      <c r="B120" s="13"/>
      <c r="C120" s="173">
        <v>17</v>
      </c>
      <c r="D120" s="13" t="s">
        <v>247</v>
      </c>
      <c r="E120" s="168">
        <v>1758.34</v>
      </c>
      <c r="F120" s="166">
        <v>1758.34</v>
      </c>
      <c r="G120" s="173">
        <v>129</v>
      </c>
      <c r="H120" s="171">
        <v>0.3</v>
      </c>
      <c r="I120" s="166">
        <v>38.7</v>
      </c>
      <c r="J120" s="183"/>
      <c r="K120" s="211"/>
      <c r="L120" s="211"/>
      <c r="M120" s="211"/>
      <c r="N120" s="211"/>
      <c r="O120" s="166"/>
      <c r="P120" s="166"/>
      <c r="Q120" s="166"/>
      <c r="R120" s="166"/>
      <c r="S120" s="171"/>
      <c r="T120" s="166"/>
      <c r="U120" s="166"/>
      <c r="V120" s="224"/>
      <c r="W120" s="173"/>
    </row>
    <row r="121" ht="21" customHeight="1" spans="1:23">
      <c r="A121" s="168"/>
      <c r="B121" s="13"/>
      <c r="C121" s="173">
        <v>18</v>
      </c>
      <c r="D121" s="13" t="s">
        <v>247</v>
      </c>
      <c r="E121" s="168">
        <v>1758.34</v>
      </c>
      <c r="F121" s="166">
        <v>1758.34</v>
      </c>
      <c r="G121" s="173">
        <v>131</v>
      </c>
      <c r="H121" s="171">
        <v>0.3</v>
      </c>
      <c r="I121" s="166">
        <v>39.3</v>
      </c>
      <c r="J121" s="183"/>
      <c r="K121" s="195"/>
      <c r="L121" s="195"/>
      <c r="M121" s="195"/>
      <c r="N121" s="195"/>
      <c r="O121" s="166"/>
      <c r="P121" s="166"/>
      <c r="Q121" s="166"/>
      <c r="R121" s="166"/>
      <c r="S121" s="171"/>
      <c r="T121" s="166"/>
      <c r="U121" s="166"/>
      <c r="V121" s="224"/>
      <c r="W121" s="173"/>
    </row>
    <row r="122" ht="21" customHeight="1" spans="1:23">
      <c r="A122" s="168"/>
      <c r="B122" s="13"/>
      <c r="C122" s="173">
        <v>19</v>
      </c>
      <c r="D122" s="166" t="s">
        <v>249</v>
      </c>
      <c r="E122" s="168">
        <v>1758.34</v>
      </c>
      <c r="F122" s="166">
        <v>1758.34</v>
      </c>
      <c r="G122" s="173">
        <v>119</v>
      </c>
      <c r="H122" s="171">
        <v>0.5</v>
      </c>
      <c r="I122" s="166">
        <v>59.5</v>
      </c>
      <c r="J122" s="194">
        <v>210121.63</v>
      </c>
      <c r="K122" s="194">
        <v>432850.55</v>
      </c>
      <c r="L122" s="194">
        <v>445844.7</v>
      </c>
      <c r="M122" s="206" t="s">
        <v>33</v>
      </c>
      <c r="N122" s="206" t="s">
        <v>33</v>
      </c>
      <c r="O122" s="166" t="s">
        <v>250</v>
      </c>
      <c r="P122" s="166" t="s">
        <v>251</v>
      </c>
      <c r="Q122" s="166">
        <v>3</v>
      </c>
      <c r="R122" s="166">
        <v>4</v>
      </c>
      <c r="S122" s="171">
        <v>0.03</v>
      </c>
      <c r="T122" s="166" t="s">
        <v>38</v>
      </c>
      <c r="U122" s="166" t="s">
        <v>252</v>
      </c>
      <c r="V122" s="224"/>
      <c r="W122" s="173"/>
    </row>
    <row r="123" ht="21" customHeight="1" spans="1:23">
      <c r="A123" s="168"/>
      <c r="B123" s="13"/>
      <c r="C123" s="173">
        <v>20</v>
      </c>
      <c r="D123" s="166" t="s">
        <v>249</v>
      </c>
      <c r="E123" s="168">
        <v>1758.34</v>
      </c>
      <c r="F123" s="166">
        <v>1758.34</v>
      </c>
      <c r="G123" s="173">
        <v>120</v>
      </c>
      <c r="H123" s="171">
        <v>0.5</v>
      </c>
      <c r="I123" s="166">
        <v>60</v>
      </c>
      <c r="J123" s="195"/>
      <c r="K123" s="195"/>
      <c r="L123" s="195"/>
      <c r="M123" s="195"/>
      <c r="N123" s="195"/>
      <c r="O123" s="166"/>
      <c r="P123" s="166"/>
      <c r="Q123" s="166"/>
      <c r="R123" s="166"/>
      <c r="S123" s="171"/>
      <c r="T123" s="166"/>
      <c r="U123" s="166"/>
      <c r="V123" s="224"/>
      <c r="W123" s="173"/>
    </row>
    <row r="124" ht="21" customHeight="1" spans="1:23">
      <c r="A124" s="168"/>
      <c r="B124" s="13"/>
      <c r="C124" s="173">
        <v>21</v>
      </c>
      <c r="D124" s="166" t="s">
        <v>49</v>
      </c>
      <c r="E124" s="168">
        <v>1758.34</v>
      </c>
      <c r="F124" s="166">
        <v>1758.34</v>
      </c>
      <c r="G124" s="173">
        <v>134</v>
      </c>
      <c r="H124" s="171">
        <v>0.5</v>
      </c>
      <c r="I124" s="166">
        <v>67</v>
      </c>
      <c r="J124" s="183">
        <v>117808.78</v>
      </c>
      <c r="K124" s="183">
        <v>121343.04</v>
      </c>
      <c r="L124" s="186" t="s">
        <v>33</v>
      </c>
      <c r="M124" s="186" t="s">
        <v>33</v>
      </c>
      <c r="N124" s="186" t="s">
        <v>33</v>
      </c>
      <c r="O124" s="13" t="s">
        <v>253</v>
      </c>
      <c r="P124" s="13" t="s">
        <v>103</v>
      </c>
      <c r="Q124" s="166" t="s">
        <v>33</v>
      </c>
      <c r="R124" s="166" t="s">
        <v>33</v>
      </c>
      <c r="S124" s="171">
        <v>0.03</v>
      </c>
      <c r="T124" s="166" t="s">
        <v>58</v>
      </c>
      <c r="U124" s="166" t="s">
        <v>254</v>
      </c>
      <c r="V124" s="224"/>
      <c r="W124" s="173" t="s">
        <v>255</v>
      </c>
    </row>
    <row r="125" ht="21" customHeight="1" spans="1:23">
      <c r="A125" s="168"/>
      <c r="B125" s="13"/>
      <c r="C125" s="173">
        <v>2201</v>
      </c>
      <c r="D125" s="166" t="s">
        <v>32</v>
      </c>
      <c r="E125" s="168">
        <v>1293.23</v>
      </c>
      <c r="F125" s="166">
        <v>1293.23</v>
      </c>
      <c r="G125" s="173">
        <v>135</v>
      </c>
      <c r="H125" s="171">
        <v>0.5</v>
      </c>
      <c r="I125" s="166">
        <v>67.5</v>
      </c>
      <c r="J125" s="183">
        <v>87293.03</v>
      </c>
      <c r="K125" s="183">
        <v>89911.82</v>
      </c>
      <c r="L125" s="186" t="s">
        <v>33</v>
      </c>
      <c r="M125" s="186" t="s">
        <v>33</v>
      </c>
      <c r="N125" s="186" t="s">
        <v>33</v>
      </c>
      <c r="O125" s="166" t="s">
        <v>256</v>
      </c>
      <c r="P125" s="166" t="s">
        <v>257</v>
      </c>
      <c r="Q125" s="166" t="s">
        <v>33</v>
      </c>
      <c r="R125" s="13" t="s">
        <v>36</v>
      </c>
      <c r="S125" s="171">
        <v>0.03</v>
      </c>
      <c r="T125" s="166" t="s">
        <v>58</v>
      </c>
      <c r="U125" s="166" t="s">
        <v>258</v>
      </c>
      <c r="V125" s="224"/>
      <c r="W125" s="173"/>
    </row>
    <row r="126" ht="21" customHeight="1" spans="1:23">
      <c r="A126" s="168"/>
      <c r="B126" s="13"/>
      <c r="C126" s="173">
        <v>2202</v>
      </c>
      <c r="D126" s="13" t="s">
        <v>259</v>
      </c>
      <c r="E126" s="168">
        <v>465.11</v>
      </c>
      <c r="F126" s="166">
        <v>465.11</v>
      </c>
      <c r="G126" s="173">
        <v>122</v>
      </c>
      <c r="H126" s="166">
        <v>0</v>
      </c>
      <c r="I126" s="166">
        <v>122</v>
      </c>
      <c r="J126" s="166">
        <v>56743.42</v>
      </c>
      <c r="K126" s="166">
        <v>58445.72</v>
      </c>
      <c r="L126" s="166">
        <v>60199.19</v>
      </c>
      <c r="M126" s="13" t="s">
        <v>33</v>
      </c>
      <c r="N126" s="13" t="s">
        <v>33</v>
      </c>
      <c r="O126" s="13" t="s">
        <v>41</v>
      </c>
      <c r="P126" s="13" t="s">
        <v>42</v>
      </c>
      <c r="Q126" s="166">
        <v>3</v>
      </c>
      <c r="R126" s="166">
        <v>2</v>
      </c>
      <c r="S126" s="171">
        <v>0.03</v>
      </c>
      <c r="T126" s="13" t="s">
        <v>38</v>
      </c>
      <c r="U126" s="13" t="s">
        <v>260</v>
      </c>
      <c r="V126" s="224"/>
      <c r="W126" s="173"/>
    </row>
    <row r="127" ht="21" customHeight="1" spans="1:23">
      <c r="A127" s="168"/>
      <c r="B127" s="13"/>
      <c r="C127" s="173">
        <v>23</v>
      </c>
      <c r="D127" s="166" t="s">
        <v>261</v>
      </c>
      <c r="E127" s="168">
        <v>1758.34</v>
      </c>
      <c r="F127" s="166">
        <v>1758.34</v>
      </c>
      <c r="G127" s="173">
        <v>137</v>
      </c>
      <c r="H127" s="171">
        <v>0.4</v>
      </c>
      <c r="I127" s="166">
        <v>54.8</v>
      </c>
      <c r="J127" s="183">
        <v>96357.03</v>
      </c>
      <c r="K127" s="183">
        <v>99247.74</v>
      </c>
      <c r="L127" s="183">
        <v>255562.94</v>
      </c>
      <c r="M127" s="186" t="s">
        <v>33</v>
      </c>
      <c r="N127" s="186" t="s">
        <v>33</v>
      </c>
      <c r="O127" s="166" t="s">
        <v>262</v>
      </c>
      <c r="P127" s="166" t="s">
        <v>263</v>
      </c>
      <c r="Q127" s="166">
        <v>3</v>
      </c>
      <c r="R127" s="166">
        <v>3</v>
      </c>
      <c r="S127" s="171">
        <v>0.03</v>
      </c>
      <c r="T127" s="166" t="s">
        <v>58</v>
      </c>
      <c r="U127" s="166" t="s">
        <v>264</v>
      </c>
      <c r="V127" s="169"/>
      <c r="W127" s="173"/>
    </row>
    <row r="128" ht="21" customHeight="1" spans="1:23">
      <c r="A128" s="168"/>
      <c r="B128" s="13" t="s">
        <v>265</v>
      </c>
      <c r="C128" s="170" t="s">
        <v>266</v>
      </c>
      <c r="D128" s="218" t="s">
        <v>267</v>
      </c>
      <c r="E128" s="168">
        <v>951.65</v>
      </c>
      <c r="F128" s="166">
        <v>951.65</v>
      </c>
      <c r="G128" s="170">
        <v>119</v>
      </c>
      <c r="H128" s="184" t="s">
        <v>33</v>
      </c>
      <c r="I128" s="13" t="s">
        <v>33</v>
      </c>
      <c r="J128" s="186" t="s">
        <v>33</v>
      </c>
      <c r="K128" s="186" t="s">
        <v>33</v>
      </c>
      <c r="L128" s="186" t="s">
        <v>33</v>
      </c>
      <c r="M128" s="186" t="s">
        <v>33</v>
      </c>
      <c r="N128" s="186" t="s">
        <v>33</v>
      </c>
      <c r="O128" s="13" t="s">
        <v>33</v>
      </c>
      <c r="P128" s="13" t="s">
        <v>33</v>
      </c>
      <c r="Q128" s="13" t="s">
        <v>33</v>
      </c>
      <c r="R128" s="13" t="s">
        <v>33</v>
      </c>
      <c r="S128" s="184" t="s">
        <v>33</v>
      </c>
      <c r="T128" s="13" t="s">
        <v>33</v>
      </c>
      <c r="U128" s="167" t="s">
        <v>33</v>
      </c>
      <c r="V128" s="166" t="s">
        <v>31</v>
      </c>
      <c r="W128" s="173"/>
    </row>
    <row r="129" ht="21" customHeight="1" spans="1:23">
      <c r="A129" s="168"/>
      <c r="B129" s="166"/>
      <c r="C129" s="173">
        <v>402</v>
      </c>
      <c r="D129" s="166" t="s">
        <v>268</v>
      </c>
      <c r="E129" s="168">
        <v>234.86</v>
      </c>
      <c r="F129" s="166">
        <v>234.86</v>
      </c>
      <c r="G129" s="173">
        <v>119</v>
      </c>
      <c r="H129" s="166" t="s">
        <v>269</v>
      </c>
      <c r="I129" s="13" t="s">
        <v>269</v>
      </c>
      <c r="J129" s="13" t="s">
        <v>269</v>
      </c>
      <c r="K129" s="166" t="s">
        <v>269</v>
      </c>
      <c r="L129" s="166" t="s">
        <v>269</v>
      </c>
      <c r="M129" s="166" t="s">
        <v>269</v>
      </c>
      <c r="N129" s="166" t="s">
        <v>269</v>
      </c>
      <c r="O129" s="166" t="s">
        <v>270</v>
      </c>
      <c r="P129" s="166" t="s">
        <v>251</v>
      </c>
      <c r="Q129" s="166">
        <v>5</v>
      </c>
      <c r="R129" s="166">
        <v>0</v>
      </c>
      <c r="S129" s="166">
        <v>0</v>
      </c>
      <c r="T129" s="166"/>
      <c r="U129" s="167" t="s">
        <v>271</v>
      </c>
      <c r="V129" s="166"/>
      <c r="W129" s="173"/>
    </row>
    <row r="130" ht="21" customHeight="1" spans="1:23">
      <c r="A130" s="168"/>
      <c r="B130" s="166"/>
      <c r="C130" s="173">
        <v>403</v>
      </c>
      <c r="D130" s="13" t="s">
        <v>272</v>
      </c>
      <c r="E130" s="168">
        <v>210.06</v>
      </c>
      <c r="F130" s="166">
        <v>210.06</v>
      </c>
      <c r="G130" s="173">
        <v>119</v>
      </c>
      <c r="H130" s="166" t="s">
        <v>269</v>
      </c>
      <c r="I130" s="166" t="s">
        <v>269</v>
      </c>
      <c r="J130" s="166" t="s">
        <v>269</v>
      </c>
      <c r="K130" s="166" t="s">
        <v>269</v>
      </c>
      <c r="L130" s="166" t="s">
        <v>269</v>
      </c>
      <c r="M130" s="166" t="s">
        <v>269</v>
      </c>
      <c r="N130" s="166" t="s">
        <v>269</v>
      </c>
      <c r="O130" s="166" t="s">
        <v>270</v>
      </c>
      <c r="P130" s="166" t="s">
        <v>251</v>
      </c>
      <c r="Q130" s="166">
        <v>5</v>
      </c>
      <c r="R130" s="166">
        <v>0</v>
      </c>
      <c r="S130" s="166">
        <v>0</v>
      </c>
      <c r="T130" s="166"/>
      <c r="U130" s="167" t="s">
        <v>271</v>
      </c>
      <c r="V130" s="166"/>
      <c r="W130" s="173"/>
    </row>
    <row r="131" s="159" customFormat="1" ht="21" customHeight="1" spans="1:23">
      <c r="A131" s="167"/>
      <c r="B131" s="13"/>
      <c r="C131" s="90">
        <v>405</v>
      </c>
      <c r="D131" s="85" t="s">
        <v>273</v>
      </c>
      <c r="E131" s="89">
        <v>1033</v>
      </c>
      <c r="F131" s="85">
        <v>1033</v>
      </c>
      <c r="G131" s="90">
        <v>106</v>
      </c>
      <c r="H131" s="85"/>
      <c r="I131" s="85"/>
      <c r="J131" s="85"/>
      <c r="K131" s="85"/>
      <c r="L131" s="85"/>
      <c r="M131" s="85"/>
      <c r="N131" s="85"/>
      <c r="O131" s="85"/>
      <c r="P131" s="85"/>
      <c r="Q131" s="85"/>
      <c r="R131" s="85"/>
      <c r="S131" s="85"/>
      <c r="T131" s="85"/>
      <c r="U131" s="89"/>
      <c r="V131" s="13"/>
      <c r="W131" s="170"/>
    </row>
    <row r="132" ht="21" customHeight="1" spans="1:23">
      <c r="A132" s="168"/>
      <c r="B132" s="166"/>
      <c r="C132" s="173">
        <v>5</v>
      </c>
      <c r="D132" s="166" t="s">
        <v>274</v>
      </c>
      <c r="E132" s="168">
        <v>1476.54</v>
      </c>
      <c r="F132" s="166">
        <v>1475.54</v>
      </c>
      <c r="G132" s="173">
        <v>119</v>
      </c>
      <c r="H132" s="171">
        <v>0.3</v>
      </c>
      <c r="I132" s="166">
        <v>35.7</v>
      </c>
      <c r="J132" s="183">
        <v>52712.48</v>
      </c>
      <c r="K132" s="183">
        <v>54293.85</v>
      </c>
      <c r="L132" s="183">
        <v>55922.67</v>
      </c>
      <c r="M132" s="183">
        <v>57600.35</v>
      </c>
      <c r="N132" s="183">
        <v>59328.36</v>
      </c>
      <c r="O132" s="166" t="s">
        <v>275</v>
      </c>
      <c r="P132" s="166" t="s">
        <v>116</v>
      </c>
      <c r="Q132" s="166">
        <v>5</v>
      </c>
      <c r="R132" s="166">
        <v>3</v>
      </c>
      <c r="S132" s="171">
        <v>0.03</v>
      </c>
      <c r="T132" s="166" t="s">
        <v>276</v>
      </c>
      <c r="U132" s="168" t="s">
        <v>277</v>
      </c>
      <c r="V132" s="166"/>
      <c r="W132" s="173"/>
    </row>
    <row r="133" ht="21" customHeight="1" spans="1:23">
      <c r="A133" s="168"/>
      <c r="B133" s="166"/>
      <c r="C133" s="173">
        <v>6</v>
      </c>
      <c r="D133" s="166" t="s">
        <v>278</v>
      </c>
      <c r="E133" s="209">
        <v>1713.34</v>
      </c>
      <c r="F133" s="210">
        <v>1712.18</v>
      </c>
      <c r="G133" s="173">
        <v>120</v>
      </c>
      <c r="H133" s="171">
        <v>0.5</v>
      </c>
      <c r="I133" s="166">
        <v>60</v>
      </c>
      <c r="J133" s="183">
        <v>102800.4</v>
      </c>
      <c r="K133" s="183">
        <v>105884.41</v>
      </c>
      <c r="L133" s="183">
        <v>109060.94</v>
      </c>
      <c r="M133" s="183">
        <v>112332.77</v>
      </c>
      <c r="N133" s="183">
        <v>115702.75</v>
      </c>
      <c r="O133" s="166" t="s">
        <v>279</v>
      </c>
      <c r="P133" s="166" t="s">
        <v>280</v>
      </c>
      <c r="Q133" s="166">
        <v>5</v>
      </c>
      <c r="R133" s="166">
        <v>3</v>
      </c>
      <c r="S133" s="171">
        <v>0.03</v>
      </c>
      <c r="T133" s="166" t="s">
        <v>281</v>
      </c>
      <c r="U133" s="168" t="s">
        <v>282</v>
      </c>
      <c r="V133" s="166"/>
      <c r="W133" s="173"/>
    </row>
    <row r="134" ht="21" customHeight="1" spans="1:23">
      <c r="A134" s="168"/>
      <c r="B134" s="166"/>
      <c r="C134" s="173">
        <v>7</v>
      </c>
      <c r="D134" s="166" t="s">
        <v>283</v>
      </c>
      <c r="E134" s="209">
        <v>1713.34</v>
      </c>
      <c r="F134" s="210">
        <v>1712.18</v>
      </c>
      <c r="G134" s="173">
        <v>120</v>
      </c>
      <c r="H134" s="13" t="s">
        <v>269</v>
      </c>
      <c r="I134" s="13" t="s">
        <v>269</v>
      </c>
      <c r="J134" s="13" t="s">
        <v>269</v>
      </c>
      <c r="K134" s="13" t="s">
        <v>269</v>
      </c>
      <c r="L134" s="13" t="s">
        <v>269</v>
      </c>
      <c r="M134" s="13" t="s">
        <v>269</v>
      </c>
      <c r="N134" s="13" t="s">
        <v>269</v>
      </c>
      <c r="O134" s="166" t="s">
        <v>284</v>
      </c>
      <c r="P134" s="166" t="s">
        <v>285</v>
      </c>
      <c r="Q134" s="166">
        <v>5</v>
      </c>
      <c r="R134" s="13" t="s">
        <v>269</v>
      </c>
      <c r="S134" s="166" t="s">
        <v>269</v>
      </c>
      <c r="T134" s="166" t="s">
        <v>281</v>
      </c>
      <c r="U134" s="168" t="s">
        <v>30</v>
      </c>
      <c r="V134" s="166"/>
      <c r="W134" s="173"/>
    </row>
    <row r="135" ht="21" customHeight="1" spans="1:23">
      <c r="A135" s="168"/>
      <c r="B135" s="166"/>
      <c r="C135" s="173">
        <v>8</v>
      </c>
      <c r="D135" s="166" t="s">
        <v>283</v>
      </c>
      <c r="E135" s="209">
        <v>1713.34</v>
      </c>
      <c r="F135" s="210">
        <v>1712.18</v>
      </c>
      <c r="G135" s="173">
        <v>120</v>
      </c>
      <c r="H135" s="13" t="s">
        <v>269</v>
      </c>
      <c r="I135" s="13" t="s">
        <v>269</v>
      </c>
      <c r="J135" s="13" t="s">
        <v>269</v>
      </c>
      <c r="K135" s="13" t="s">
        <v>269</v>
      </c>
      <c r="L135" s="13" t="s">
        <v>269</v>
      </c>
      <c r="M135" s="13" t="s">
        <v>269</v>
      </c>
      <c r="N135" s="13" t="s">
        <v>269</v>
      </c>
      <c r="O135" s="166"/>
      <c r="P135" s="166"/>
      <c r="Q135" s="166"/>
      <c r="R135" s="166" t="s">
        <v>269</v>
      </c>
      <c r="S135" s="166" t="s">
        <v>269</v>
      </c>
      <c r="T135" s="166"/>
      <c r="U135" s="168"/>
      <c r="V135" s="166"/>
      <c r="W135" s="173"/>
    </row>
    <row r="136" ht="21" customHeight="1" spans="1:23">
      <c r="A136" s="168"/>
      <c r="B136" s="166"/>
      <c r="C136" s="173">
        <v>9</v>
      </c>
      <c r="D136" s="166" t="s">
        <v>283</v>
      </c>
      <c r="E136" s="209">
        <v>1713.34</v>
      </c>
      <c r="F136" s="210">
        <v>1712.18</v>
      </c>
      <c r="G136" s="173">
        <v>120</v>
      </c>
      <c r="H136" s="13" t="s">
        <v>269</v>
      </c>
      <c r="I136" s="13" t="s">
        <v>269</v>
      </c>
      <c r="J136" s="13" t="s">
        <v>269</v>
      </c>
      <c r="K136" s="13" t="s">
        <v>269</v>
      </c>
      <c r="L136" s="13" t="s">
        <v>269</v>
      </c>
      <c r="M136" s="13" t="s">
        <v>269</v>
      </c>
      <c r="N136" s="13" t="s">
        <v>269</v>
      </c>
      <c r="O136" s="166"/>
      <c r="P136" s="166"/>
      <c r="Q136" s="166"/>
      <c r="R136" s="166" t="s">
        <v>269</v>
      </c>
      <c r="S136" s="166" t="s">
        <v>269</v>
      </c>
      <c r="T136" s="166"/>
      <c r="U136" s="168"/>
      <c r="V136" s="166"/>
      <c r="W136" s="173"/>
    </row>
    <row r="137" ht="21" customHeight="1" spans="1:23">
      <c r="A137" s="168"/>
      <c r="B137" s="166"/>
      <c r="C137" s="173">
        <v>10</v>
      </c>
      <c r="D137" s="216" t="s">
        <v>286</v>
      </c>
      <c r="E137" s="209">
        <v>1713.34</v>
      </c>
      <c r="F137" s="210">
        <v>1712.18</v>
      </c>
      <c r="G137" s="173">
        <v>121</v>
      </c>
      <c r="H137" s="13" t="s">
        <v>269</v>
      </c>
      <c r="I137" s="13" t="s">
        <v>269</v>
      </c>
      <c r="J137" s="13" t="s">
        <v>269</v>
      </c>
      <c r="K137" s="13" t="s">
        <v>269</v>
      </c>
      <c r="L137" s="13" t="s">
        <v>269</v>
      </c>
      <c r="M137" s="13" t="s">
        <v>269</v>
      </c>
      <c r="N137" s="13" t="s">
        <v>269</v>
      </c>
      <c r="O137" s="166"/>
      <c r="P137" s="166"/>
      <c r="Q137" s="166"/>
      <c r="R137" s="166" t="s">
        <v>269</v>
      </c>
      <c r="S137" s="166" t="s">
        <v>269</v>
      </c>
      <c r="T137" s="166"/>
      <c r="U137" s="168"/>
      <c r="V137" s="166"/>
      <c r="W137" s="173"/>
    </row>
    <row r="138" s="157" customFormat="1" ht="21" customHeight="1" spans="1:23">
      <c r="A138" s="167"/>
      <c r="B138" s="13"/>
      <c r="C138" s="170">
        <v>11</v>
      </c>
      <c r="D138" s="13" t="s">
        <v>287</v>
      </c>
      <c r="E138" s="167">
        <v>1712.18</v>
      </c>
      <c r="F138" s="13">
        <v>1712.18</v>
      </c>
      <c r="G138" s="170">
        <v>106</v>
      </c>
      <c r="H138" s="184">
        <v>0.3</v>
      </c>
      <c r="I138" s="13">
        <f>ROUND(G138*H138,2)</f>
        <v>31.8</v>
      </c>
      <c r="J138" s="186">
        <f>ROUND(I138*E138,2)</f>
        <v>54447.32</v>
      </c>
      <c r="K138" s="206">
        <v>109408.3</v>
      </c>
      <c r="L138" s="206">
        <v>109408.3</v>
      </c>
      <c r="M138" s="206" t="s">
        <v>33</v>
      </c>
      <c r="N138" s="250">
        <f>ROUND(I138*E138,2)</f>
        <v>54447.32</v>
      </c>
      <c r="O138" s="13" t="s">
        <v>288</v>
      </c>
      <c r="P138" s="13" t="s">
        <v>289</v>
      </c>
      <c r="Q138" s="13">
        <v>3</v>
      </c>
      <c r="R138" s="13" t="s">
        <v>36</v>
      </c>
      <c r="S138" s="184" t="s">
        <v>37</v>
      </c>
      <c r="T138" s="13" t="s">
        <v>290</v>
      </c>
      <c r="U138" s="167" t="s">
        <v>291</v>
      </c>
      <c r="V138" s="13"/>
      <c r="W138" s="170" t="s">
        <v>292</v>
      </c>
    </row>
    <row r="139" s="157" customFormat="1" ht="21" customHeight="1" spans="1:23">
      <c r="A139" s="167"/>
      <c r="B139" s="13"/>
      <c r="C139" s="170">
        <v>12</v>
      </c>
      <c r="D139" s="13" t="s">
        <v>287</v>
      </c>
      <c r="E139" s="167">
        <v>1712.18</v>
      </c>
      <c r="F139" s="13">
        <v>1712.18</v>
      </c>
      <c r="G139" s="170">
        <v>107</v>
      </c>
      <c r="H139" s="184">
        <v>0.3</v>
      </c>
      <c r="I139" s="13">
        <f>ROUND(G139*H139,2)</f>
        <v>32.1</v>
      </c>
      <c r="J139" s="186">
        <f>ROUND(I139*E139,2)</f>
        <v>54960.98</v>
      </c>
      <c r="K139" s="205"/>
      <c r="L139" s="205"/>
      <c r="M139" s="205"/>
      <c r="N139" s="250">
        <f>ROUND(I139*E139,2)</f>
        <v>54960.98</v>
      </c>
      <c r="O139" s="13"/>
      <c r="P139" s="13"/>
      <c r="Q139" s="13"/>
      <c r="R139" s="13"/>
      <c r="S139" s="184"/>
      <c r="T139" s="13"/>
      <c r="U139" s="167"/>
      <c r="V139" s="13"/>
      <c r="W139" s="170"/>
    </row>
    <row r="140" s="155" customFormat="1" ht="21" customHeight="1" spans="1:23">
      <c r="A140" s="185"/>
      <c r="B140" s="176"/>
      <c r="C140" s="179">
        <v>1301</v>
      </c>
      <c r="D140" s="69" t="s">
        <v>293</v>
      </c>
      <c r="E140" s="185">
        <v>744.76</v>
      </c>
      <c r="F140" s="176">
        <v>744.76</v>
      </c>
      <c r="G140" s="179">
        <v>108</v>
      </c>
      <c r="H140" s="180">
        <v>0.5</v>
      </c>
      <c r="I140" s="176">
        <f>ROUND(H140*G140,2)</f>
        <v>54</v>
      </c>
      <c r="J140" s="176">
        <f>ROUND(I140*E140,2)</f>
        <v>40217.04</v>
      </c>
      <c r="K140" s="176">
        <v>40217.04</v>
      </c>
      <c r="L140" s="176">
        <v>40217.04</v>
      </c>
      <c r="M140" s="176">
        <v>40217.04</v>
      </c>
      <c r="N140" s="176">
        <v>40217.04</v>
      </c>
      <c r="O140" s="69" t="s">
        <v>294</v>
      </c>
      <c r="P140" s="69" t="s">
        <v>295</v>
      </c>
      <c r="Q140" s="176">
        <v>5</v>
      </c>
      <c r="R140" s="176">
        <v>3</v>
      </c>
      <c r="S140" s="69" t="s">
        <v>37</v>
      </c>
      <c r="T140" s="69" t="s">
        <v>290</v>
      </c>
      <c r="U140" s="75" t="s">
        <v>296</v>
      </c>
      <c r="V140" s="176"/>
      <c r="W140" s="179"/>
    </row>
    <row r="141" s="40" customFormat="1" ht="21" customHeight="1" spans="1:23">
      <c r="A141" s="168"/>
      <c r="B141" s="166"/>
      <c r="C141" s="173">
        <v>1302</v>
      </c>
      <c r="D141" s="166" t="s">
        <v>297</v>
      </c>
      <c r="E141" s="168">
        <v>967.42</v>
      </c>
      <c r="F141" s="166">
        <v>967.42</v>
      </c>
      <c r="G141" s="173">
        <v>108</v>
      </c>
      <c r="H141" s="171">
        <v>0.3</v>
      </c>
      <c r="I141" s="166">
        <f>ROUND(H141*G141,2)</f>
        <v>32.4</v>
      </c>
      <c r="J141" s="183">
        <f>ROUND(I141*967.42,2)</f>
        <v>31344.41</v>
      </c>
      <c r="K141" s="194">
        <f>SUM(J141:J143)</f>
        <v>114474</v>
      </c>
      <c r="L141" s="194">
        <v>114474</v>
      </c>
      <c r="M141" s="206" t="s">
        <v>33</v>
      </c>
      <c r="N141" s="206" t="s">
        <v>33</v>
      </c>
      <c r="O141" s="46" t="s">
        <v>298</v>
      </c>
      <c r="P141" s="46" t="s">
        <v>299</v>
      </c>
      <c r="Q141" s="197">
        <v>3</v>
      </c>
      <c r="R141" s="46" t="s">
        <v>36</v>
      </c>
      <c r="S141" s="203" t="s">
        <v>37</v>
      </c>
      <c r="T141" s="46" t="s">
        <v>290</v>
      </c>
      <c r="U141" s="167" t="s">
        <v>300</v>
      </c>
      <c r="V141" s="166"/>
      <c r="W141" s="173"/>
    </row>
    <row r="142" s="40" customFormat="1" ht="21" customHeight="1" spans="1:23">
      <c r="A142" s="168"/>
      <c r="B142" s="166"/>
      <c r="C142" s="173">
        <v>14</v>
      </c>
      <c r="D142" s="166" t="s">
        <v>297</v>
      </c>
      <c r="E142" s="13">
        <v>1679.88</v>
      </c>
      <c r="F142" s="13">
        <v>1679.88</v>
      </c>
      <c r="G142" s="173">
        <v>109</v>
      </c>
      <c r="H142" s="171">
        <v>0.3</v>
      </c>
      <c r="I142" s="166">
        <f>ROUND(H142*G142,2)</f>
        <v>32.7</v>
      </c>
      <c r="J142" s="183">
        <f>ROUND(I142*1679.88,2)</f>
        <v>54932.08</v>
      </c>
      <c r="K142" s="211"/>
      <c r="L142" s="211"/>
      <c r="M142" s="211"/>
      <c r="N142" s="67"/>
      <c r="O142" s="174"/>
      <c r="P142" s="174"/>
      <c r="Q142" s="174"/>
      <c r="R142" s="174"/>
      <c r="S142" s="208"/>
      <c r="T142" s="174"/>
      <c r="U142" s="167" t="s">
        <v>301</v>
      </c>
      <c r="V142" s="166"/>
      <c r="W142" s="173"/>
    </row>
    <row r="143" s="40" customFormat="1" ht="21" customHeight="1" spans="1:23">
      <c r="A143" s="168"/>
      <c r="B143" s="166"/>
      <c r="C143" s="251" t="s">
        <v>302</v>
      </c>
      <c r="D143" s="13" t="s">
        <v>297</v>
      </c>
      <c r="E143" s="13">
        <v>854.47</v>
      </c>
      <c r="F143" s="13">
        <v>854.47</v>
      </c>
      <c r="G143" s="173">
        <v>110</v>
      </c>
      <c r="H143" s="171">
        <v>0.3</v>
      </c>
      <c r="I143" s="166">
        <f>ROUND(H143*G143,2)</f>
        <v>33</v>
      </c>
      <c r="J143" s="183">
        <f>ROUND(I143*854.47,2)</f>
        <v>28197.51</v>
      </c>
      <c r="K143" s="195"/>
      <c r="L143" s="195"/>
      <c r="M143" s="195"/>
      <c r="N143" s="205"/>
      <c r="O143" s="198"/>
      <c r="P143" s="198"/>
      <c r="Q143" s="198"/>
      <c r="R143" s="198"/>
      <c r="S143" s="245"/>
      <c r="T143" s="198"/>
      <c r="U143" s="168"/>
      <c r="V143" s="166"/>
      <c r="W143" s="173"/>
    </row>
    <row r="144" s="40" customFormat="1" ht="32.25" customHeight="1" spans="1:23">
      <c r="A144" s="168"/>
      <c r="B144" s="166"/>
      <c r="C144" s="173" t="s">
        <v>303</v>
      </c>
      <c r="D144" s="166" t="s">
        <v>304</v>
      </c>
      <c r="E144" s="13">
        <v>898.9</v>
      </c>
      <c r="F144" s="13">
        <v>898.9</v>
      </c>
      <c r="G144" s="173">
        <v>110</v>
      </c>
      <c r="H144" s="171">
        <v>0.3</v>
      </c>
      <c r="I144" s="166">
        <f>ROUND(H144*G144,2)</f>
        <v>33</v>
      </c>
      <c r="J144" s="183">
        <f>ROUND(I144*898.9,2)</f>
        <v>29663.7</v>
      </c>
      <c r="K144" s="186" t="s">
        <v>33</v>
      </c>
      <c r="L144" s="186" t="s">
        <v>33</v>
      </c>
      <c r="M144" s="186" t="s">
        <v>33</v>
      </c>
      <c r="N144" s="186" t="s">
        <v>33</v>
      </c>
      <c r="O144" s="13" t="s">
        <v>305</v>
      </c>
      <c r="P144" s="13" t="s">
        <v>78</v>
      </c>
      <c r="Q144" s="166">
        <v>1</v>
      </c>
      <c r="R144" s="13" t="s">
        <v>36</v>
      </c>
      <c r="S144" s="184" t="s">
        <v>37</v>
      </c>
      <c r="T144" s="13" t="s">
        <v>290</v>
      </c>
      <c r="U144" s="167" t="s">
        <v>301</v>
      </c>
      <c r="V144" s="166"/>
      <c r="W144" s="173"/>
    </row>
    <row r="145" ht="29.25" customHeight="1" spans="1:23">
      <c r="A145" s="168"/>
      <c r="B145" s="166"/>
      <c r="C145" s="173">
        <v>16</v>
      </c>
      <c r="D145" s="166" t="s">
        <v>306</v>
      </c>
      <c r="E145" s="167">
        <v>1753.37</v>
      </c>
      <c r="F145" s="166">
        <v>1753.37</v>
      </c>
      <c r="G145" s="173">
        <v>127</v>
      </c>
      <c r="H145" s="13" t="s">
        <v>269</v>
      </c>
      <c r="I145" s="13" t="s">
        <v>269</v>
      </c>
      <c r="J145" s="13" t="s">
        <v>269</v>
      </c>
      <c r="K145" s="13" t="s">
        <v>269</v>
      </c>
      <c r="L145" s="13" t="s">
        <v>269</v>
      </c>
      <c r="M145" s="13" t="s">
        <v>269</v>
      </c>
      <c r="N145" s="13" t="s">
        <v>269</v>
      </c>
      <c r="O145" s="166" t="s">
        <v>307</v>
      </c>
      <c r="P145" s="166" t="s">
        <v>308</v>
      </c>
      <c r="Q145" s="166">
        <v>5</v>
      </c>
      <c r="R145" s="13" t="s">
        <v>269</v>
      </c>
      <c r="S145" s="13" t="s">
        <v>269</v>
      </c>
      <c r="T145" s="166" t="s">
        <v>281</v>
      </c>
      <c r="U145" s="168" t="s">
        <v>309</v>
      </c>
      <c r="V145" s="166"/>
      <c r="W145" s="173"/>
    </row>
    <row r="146" s="40" customFormat="1" ht="21" customHeight="1" spans="1:23">
      <c r="A146" s="168"/>
      <c r="B146" s="166"/>
      <c r="C146" s="173">
        <v>17</v>
      </c>
      <c r="D146" s="166" t="s">
        <v>310</v>
      </c>
      <c r="E146" s="13">
        <v>1753.37</v>
      </c>
      <c r="F146" s="13">
        <v>1753.37</v>
      </c>
      <c r="G146" s="173">
        <v>117</v>
      </c>
      <c r="H146" s="171">
        <v>0.3</v>
      </c>
      <c r="I146" s="166">
        <v>35.1</v>
      </c>
      <c r="J146" s="183">
        <f>ROUND(I146*E146,2)</f>
        <v>61543.29</v>
      </c>
      <c r="K146" s="183">
        <v>61543.29</v>
      </c>
      <c r="L146" s="183">
        <v>61543.29</v>
      </c>
      <c r="M146" s="183">
        <v>61543.29</v>
      </c>
      <c r="N146" s="183">
        <v>61543.29</v>
      </c>
      <c r="O146" s="13" t="s">
        <v>34</v>
      </c>
      <c r="P146" s="13" t="s">
        <v>84</v>
      </c>
      <c r="Q146" s="166">
        <v>5</v>
      </c>
      <c r="R146" s="166">
        <v>0</v>
      </c>
      <c r="S146" s="171">
        <v>0</v>
      </c>
      <c r="T146" s="13" t="s">
        <v>290</v>
      </c>
      <c r="U146" s="167" t="s">
        <v>311</v>
      </c>
      <c r="V146" s="166"/>
      <c r="W146" s="173"/>
    </row>
    <row r="147" s="40" customFormat="1" ht="21" customHeight="1" spans="1:23">
      <c r="A147" s="168"/>
      <c r="B147" s="166"/>
      <c r="C147" s="173">
        <v>1801</v>
      </c>
      <c r="D147" s="166" t="s">
        <v>312</v>
      </c>
      <c r="E147" s="168">
        <v>863.88</v>
      </c>
      <c r="F147" s="166">
        <v>863.88</v>
      </c>
      <c r="G147" s="173">
        <v>118</v>
      </c>
      <c r="H147" s="171">
        <v>0.3</v>
      </c>
      <c r="I147" s="166">
        <v>35.4</v>
      </c>
      <c r="J147" s="186">
        <f>ROUND(I147*E147,2)</f>
        <v>30581.35</v>
      </c>
      <c r="K147" s="186" t="s">
        <v>33</v>
      </c>
      <c r="L147" s="186" t="s">
        <v>33</v>
      </c>
      <c r="M147" s="186" t="s">
        <v>33</v>
      </c>
      <c r="N147" s="186" t="s">
        <v>33</v>
      </c>
      <c r="O147" s="13" t="s">
        <v>34</v>
      </c>
      <c r="P147" s="13" t="s">
        <v>313</v>
      </c>
      <c r="Q147" s="166">
        <v>1</v>
      </c>
      <c r="R147" s="166">
        <v>0</v>
      </c>
      <c r="S147" s="171">
        <v>0</v>
      </c>
      <c r="T147" s="13" t="s">
        <v>290</v>
      </c>
      <c r="U147" s="167" t="s">
        <v>314</v>
      </c>
      <c r="V147" s="166"/>
      <c r="W147" s="173"/>
    </row>
    <row r="148" ht="21" customHeight="1" spans="1:23">
      <c r="A148" s="168"/>
      <c r="B148" s="166"/>
      <c r="C148" s="213">
        <v>1802</v>
      </c>
      <c r="D148" s="212" t="s">
        <v>91</v>
      </c>
      <c r="E148" s="214">
        <v>889.49</v>
      </c>
      <c r="F148" s="215">
        <v>889.49</v>
      </c>
      <c r="G148" s="213">
        <v>118</v>
      </c>
      <c r="H148" s="215"/>
      <c r="I148" s="215"/>
      <c r="J148" s="215"/>
      <c r="K148" s="215"/>
      <c r="L148" s="215"/>
      <c r="M148" s="215"/>
      <c r="N148" s="215"/>
      <c r="O148" s="215"/>
      <c r="P148" s="215"/>
      <c r="Q148" s="215"/>
      <c r="R148" s="215"/>
      <c r="S148" s="215"/>
      <c r="T148" s="215"/>
      <c r="U148" s="214"/>
      <c r="V148" s="166"/>
      <c r="W148" s="173"/>
    </row>
    <row r="149" s="40" customFormat="1" ht="21" customHeight="1" spans="1:23">
      <c r="A149" s="168"/>
      <c r="B149" s="166"/>
      <c r="C149" s="173">
        <v>19</v>
      </c>
      <c r="D149" s="166" t="s">
        <v>315</v>
      </c>
      <c r="E149" s="13">
        <v>1753.37</v>
      </c>
      <c r="F149" s="13">
        <v>1753.37</v>
      </c>
      <c r="G149" s="173">
        <v>119</v>
      </c>
      <c r="H149" s="171">
        <v>0.3</v>
      </c>
      <c r="I149" s="166">
        <f>ROUND(H149*G149,2)</f>
        <v>35.7</v>
      </c>
      <c r="J149" s="183">
        <f t="shared" ref="J149:J154" si="8">ROUND(I149*E149,2)</f>
        <v>62595.31</v>
      </c>
      <c r="K149" s="194">
        <f>J149+J150</f>
        <v>125716.63</v>
      </c>
      <c r="L149" s="206">
        <v>125716.63</v>
      </c>
      <c r="M149" s="206">
        <v>125716.63</v>
      </c>
      <c r="N149" s="206">
        <v>125716.63</v>
      </c>
      <c r="O149" s="13" t="s">
        <v>34</v>
      </c>
      <c r="P149" s="13" t="s">
        <v>84</v>
      </c>
      <c r="Q149" s="166">
        <v>5</v>
      </c>
      <c r="R149" s="13" t="s">
        <v>36</v>
      </c>
      <c r="S149" s="184" t="s">
        <v>37</v>
      </c>
      <c r="T149" s="166" t="s">
        <v>281</v>
      </c>
      <c r="U149" s="168" t="s">
        <v>30</v>
      </c>
      <c r="V149" s="166"/>
      <c r="W149" s="173"/>
    </row>
    <row r="150" s="40" customFormat="1" ht="21" customHeight="1" spans="1:23">
      <c r="A150" s="168"/>
      <c r="B150" s="166"/>
      <c r="C150" s="173">
        <v>20</v>
      </c>
      <c r="D150" s="13" t="s">
        <v>315</v>
      </c>
      <c r="E150" s="13">
        <v>1753.37</v>
      </c>
      <c r="F150" s="13">
        <v>1753.37</v>
      </c>
      <c r="G150" s="173">
        <v>120</v>
      </c>
      <c r="H150" s="171">
        <v>0.3</v>
      </c>
      <c r="I150" s="166">
        <f>ROUND(H150*G150,2)</f>
        <v>36</v>
      </c>
      <c r="J150" s="183">
        <f t="shared" si="8"/>
        <v>63121.32</v>
      </c>
      <c r="K150" s="195"/>
      <c r="L150" s="195"/>
      <c r="M150" s="195"/>
      <c r="N150" s="195"/>
      <c r="O150" s="166"/>
      <c r="P150" s="166"/>
      <c r="Q150" s="166"/>
      <c r="R150" s="166"/>
      <c r="S150" s="171"/>
      <c r="T150" s="166"/>
      <c r="U150" s="168"/>
      <c r="V150" s="166"/>
      <c r="W150" s="173"/>
    </row>
    <row r="151" ht="21" customHeight="1" spans="1:23">
      <c r="A151" s="168"/>
      <c r="B151" s="166"/>
      <c r="C151" s="173">
        <v>2102</v>
      </c>
      <c r="D151" s="166" t="s">
        <v>316</v>
      </c>
      <c r="E151" s="168">
        <v>876.69</v>
      </c>
      <c r="F151" s="166">
        <v>876.69</v>
      </c>
      <c r="G151" s="173">
        <v>134</v>
      </c>
      <c r="H151" s="171">
        <v>0.5</v>
      </c>
      <c r="I151" s="166">
        <v>67</v>
      </c>
      <c r="J151" s="166">
        <f t="shared" si="8"/>
        <v>58738.23</v>
      </c>
      <c r="K151" s="183">
        <v>60500.38</v>
      </c>
      <c r="L151" s="183">
        <v>62315.39</v>
      </c>
      <c r="M151" s="183">
        <v>64184.85</v>
      </c>
      <c r="N151" s="183">
        <v>66110.4</v>
      </c>
      <c r="O151" s="166" t="s">
        <v>317</v>
      </c>
      <c r="P151" s="166" t="s">
        <v>178</v>
      </c>
      <c r="Q151" s="166">
        <v>5</v>
      </c>
      <c r="R151" s="166">
        <v>3</v>
      </c>
      <c r="S151" s="171">
        <v>0.03</v>
      </c>
      <c r="T151" s="166" t="s">
        <v>281</v>
      </c>
      <c r="U151" s="168" t="s">
        <v>318</v>
      </c>
      <c r="V151" s="166"/>
      <c r="W151" s="173"/>
    </row>
    <row r="152" s="40" customFormat="1" ht="21" customHeight="1" spans="1:23">
      <c r="A152" s="168"/>
      <c r="B152" s="166"/>
      <c r="C152" s="173">
        <v>2101</v>
      </c>
      <c r="D152" s="13" t="s">
        <v>319</v>
      </c>
      <c r="E152" s="168">
        <v>876.68</v>
      </c>
      <c r="F152" s="166">
        <v>876.68</v>
      </c>
      <c r="G152" s="173">
        <v>116</v>
      </c>
      <c r="H152" s="184">
        <v>0.3</v>
      </c>
      <c r="I152" s="166">
        <f>ROUND(H152*G152,2)</f>
        <v>34.8</v>
      </c>
      <c r="J152" s="166">
        <f t="shared" si="8"/>
        <v>30508.46</v>
      </c>
      <c r="K152" s="166">
        <v>30508.46</v>
      </c>
      <c r="L152" s="166">
        <v>30508.46</v>
      </c>
      <c r="M152" s="166">
        <v>30508.46</v>
      </c>
      <c r="N152" s="166">
        <v>30508.46</v>
      </c>
      <c r="O152" s="13" t="s">
        <v>288</v>
      </c>
      <c r="P152" s="13" t="s">
        <v>320</v>
      </c>
      <c r="Q152" s="13" t="s">
        <v>321</v>
      </c>
      <c r="R152" s="166">
        <v>3</v>
      </c>
      <c r="S152" s="184" t="s">
        <v>37</v>
      </c>
      <c r="T152" s="13" t="s">
        <v>290</v>
      </c>
      <c r="U152" s="167" t="s">
        <v>322</v>
      </c>
      <c r="V152" s="166"/>
      <c r="W152" s="173"/>
    </row>
    <row r="153" s="40" customFormat="1" ht="21" customHeight="1" spans="1:23">
      <c r="A153" s="168"/>
      <c r="B153" s="166"/>
      <c r="C153" s="173">
        <v>22</v>
      </c>
      <c r="D153" s="13" t="s">
        <v>319</v>
      </c>
      <c r="E153" s="13">
        <v>1753.37</v>
      </c>
      <c r="F153" s="13">
        <v>1753.37</v>
      </c>
      <c r="G153" s="173">
        <v>122</v>
      </c>
      <c r="H153" s="171">
        <v>0.3</v>
      </c>
      <c r="I153" s="166">
        <v>36.6</v>
      </c>
      <c r="J153" s="166">
        <f t="shared" si="8"/>
        <v>64173.34</v>
      </c>
      <c r="K153" s="183">
        <v>64173.34</v>
      </c>
      <c r="L153" s="183">
        <v>64173.34</v>
      </c>
      <c r="M153" s="183">
        <v>64173.34</v>
      </c>
      <c r="N153" s="183">
        <v>64173.34</v>
      </c>
      <c r="O153" s="100" t="s">
        <v>323</v>
      </c>
      <c r="P153" s="100" t="s">
        <v>320</v>
      </c>
      <c r="Q153" s="14">
        <v>5</v>
      </c>
      <c r="R153" s="14">
        <v>3</v>
      </c>
      <c r="S153" s="14">
        <v>0</v>
      </c>
      <c r="T153" s="100" t="s">
        <v>290</v>
      </c>
      <c r="U153" s="100" t="s">
        <v>324</v>
      </c>
      <c r="V153" s="166"/>
      <c r="W153" s="173"/>
    </row>
    <row r="154" s="40" customFormat="1" ht="21" customHeight="1" spans="1:23">
      <c r="A154" s="168"/>
      <c r="B154" s="166"/>
      <c r="C154" s="173">
        <v>23</v>
      </c>
      <c r="D154" s="13" t="s">
        <v>325</v>
      </c>
      <c r="E154" s="167">
        <v>1753.37</v>
      </c>
      <c r="F154" s="13">
        <v>1753.37</v>
      </c>
      <c r="G154" s="173">
        <v>123</v>
      </c>
      <c r="H154" s="171">
        <v>0.3</v>
      </c>
      <c r="I154" s="166">
        <v>36.9</v>
      </c>
      <c r="J154" s="166">
        <f t="shared" si="8"/>
        <v>64699.35</v>
      </c>
      <c r="K154" s="166">
        <v>64699.35</v>
      </c>
      <c r="L154" s="166">
        <v>64699.35</v>
      </c>
      <c r="M154" s="166">
        <v>64699.35</v>
      </c>
      <c r="N154" s="166">
        <v>64699.35</v>
      </c>
      <c r="O154" s="13" t="s">
        <v>34</v>
      </c>
      <c r="P154" s="13" t="s">
        <v>84</v>
      </c>
      <c r="Q154" s="166">
        <v>5</v>
      </c>
      <c r="R154" s="166">
        <v>0</v>
      </c>
      <c r="S154" s="171">
        <v>0</v>
      </c>
      <c r="T154" s="13" t="s">
        <v>290</v>
      </c>
      <c r="U154" s="167" t="s">
        <v>311</v>
      </c>
      <c r="V154" s="166"/>
      <c r="W154" s="173"/>
    </row>
    <row r="155" ht="21" customHeight="1" spans="1:23">
      <c r="A155" s="166"/>
      <c r="B155" s="13" t="s">
        <v>326</v>
      </c>
      <c r="C155" s="166">
        <v>4</v>
      </c>
      <c r="D155" s="166" t="s">
        <v>113</v>
      </c>
      <c r="E155" s="168">
        <v>1911.1</v>
      </c>
      <c r="F155" s="166">
        <v>1911.1</v>
      </c>
      <c r="G155" s="173">
        <v>120</v>
      </c>
      <c r="H155" s="171">
        <v>0.5</v>
      </c>
      <c r="I155" s="166">
        <f t="shared" ref="I153:I160" si="9">G155*H155</f>
        <v>60</v>
      </c>
      <c r="J155" s="183">
        <v>227438.4</v>
      </c>
      <c r="K155" s="194">
        <v>234261.55</v>
      </c>
      <c r="L155" s="194">
        <v>241289.4</v>
      </c>
      <c r="M155" s="194">
        <v>248528.08</v>
      </c>
      <c r="N155" s="194">
        <v>511967.83</v>
      </c>
      <c r="O155" s="166" t="s">
        <v>327</v>
      </c>
      <c r="P155" s="166" t="s">
        <v>47</v>
      </c>
      <c r="Q155" s="166">
        <v>5</v>
      </c>
      <c r="R155" s="166">
        <v>4</v>
      </c>
      <c r="S155" s="171">
        <v>0.03</v>
      </c>
      <c r="T155" s="166" t="s">
        <v>58</v>
      </c>
      <c r="U155" s="166" t="s">
        <v>328</v>
      </c>
      <c r="V155" s="166" t="s">
        <v>59</v>
      </c>
      <c r="W155" s="166"/>
    </row>
    <row r="156" ht="21" customHeight="1" spans="1:23">
      <c r="A156" s="166"/>
      <c r="B156" s="166"/>
      <c r="C156" s="166">
        <v>5</v>
      </c>
      <c r="D156" s="13" t="s">
        <v>113</v>
      </c>
      <c r="E156" s="168">
        <v>1879.54</v>
      </c>
      <c r="F156" s="166">
        <v>1879.54</v>
      </c>
      <c r="G156" s="173">
        <v>120</v>
      </c>
      <c r="H156" s="171">
        <v>0.5</v>
      </c>
      <c r="I156" s="166">
        <f t="shared" si="9"/>
        <v>60</v>
      </c>
      <c r="J156" s="183"/>
      <c r="K156" s="195"/>
      <c r="L156" s="195"/>
      <c r="M156" s="195"/>
      <c r="N156" s="195"/>
      <c r="O156" s="166"/>
      <c r="P156" s="166"/>
      <c r="Q156" s="166"/>
      <c r="R156" s="166"/>
      <c r="S156" s="171"/>
      <c r="T156" s="166"/>
      <c r="U156" s="166"/>
      <c r="V156" s="166"/>
      <c r="W156" s="166"/>
    </row>
    <row r="157" ht="21" customHeight="1" spans="1:23">
      <c r="A157" s="166"/>
      <c r="B157" s="166"/>
      <c r="C157" s="166">
        <v>6</v>
      </c>
      <c r="D157" s="166" t="s">
        <v>113</v>
      </c>
      <c r="E157" s="168">
        <v>1806.89</v>
      </c>
      <c r="F157" s="166">
        <v>1806.89</v>
      </c>
      <c r="G157" s="173">
        <v>120</v>
      </c>
      <c r="H157" s="171">
        <v>0.5</v>
      </c>
      <c r="I157" s="166">
        <f t="shared" si="9"/>
        <v>60</v>
      </c>
      <c r="J157" s="166">
        <v>220798.2</v>
      </c>
      <c r="K157" s="197">
        <v>227422.15</v>
      </c>
      <c r="L157" s="197">
        <v>234244.81</v>
      </c>
      <c r="M157" s="197">
        <v>241272.15</v>
      </c>
      <c r="N157" s="197"/>
      <c r="O157" s="166" t="s">
        <v>329</v>
      </c>
      <c r="P157" s="166" t="s">
        <v>330</v>
      </c>
      <c r="Q157" s="166">
        <v>5</v>
      </c>
      <c r="R157" s="166">
        <v>4</v>
      </c>
      <c r="S157" s="171">
        <v>0.03</v>
      </c>
      <c r="T157" s="166" t="s">
        <v>58</v>
      </c>
      <c r="U157" s="166" t="s">
        <v>331</v>
      </c>
      <c r="V157" s="166"/>
      <c r="W157" s="166"/>
    </row>
    <row r="158" ht="21" customHeight="1" spans="1:23">
      <c r="A158" s="166"/>
      <c r="B158" s="166"/>
      <c r="C158" s="166">
        <v>7</v>
      </c>
      <c r="D158" s="166" t="s">
        <v>113</v>
      </c>
      <c r="E158" s="168">
        <v>1873.08</v>
      </c>
      <c r="F158" s="166">
        <v>1873.08</v>
      </c>
      <c r="G158" s="173">
        <v>120</v>
      </c>
      <c r="H158" s="171">
        <v>0.5</v>
      </c>
      <c r="I158" s="166">
        <f t="shared" si="9"/>
        <v>60</v>
      </c>
      <c r="J158" s="166"/>
      <c r="K158" s="198"/>
      <c r="L158" s="198"/>
      <c r="M158" s="198"/>
      <c r="N158" s="198"/>
      <c r="O158" s="166"/>
      <c r="P158" s="166"/>
      <c r="Q158" s="166"/>
      <c r="R158" s="166"/>
      <c r="S158" s="171"/>
      <c r="T158" s="166"/>
      <c r="U158" s="166"/>
      <c r="V158" s="166"/>
      <c r="W158" s="166"/>
    </row>
    <row r="159" ht="21" customHeight="1" spans="1:23">
      <c r="A159" s="166"/>
      <c r="B159" s="166"/>
      <c r="C159" s="166">
        <v>8</v>
      </c>
      <c r="D159" s="166" t="s">
        <v>332</v>
      </c>
      <c r="E159" s="168">
        <v>1873.08</v>
      </c>
      <c r="F159" s="166">
        <v>1873.08</v>
      </c>
      <c r="G159" s="173">
        <v>120</v>
      </c>
      <c r="H159" s="171">
        <v>0.5</v>
      </c>
      <c r="I159" s="166">
        <f t="shared" si="9"/>
        <v>60</v>
      </c>
      <c r="J159" s="166">
        <v>224769.6</v>
      </c>
      <c r="K159" s="197">
        <v>231512.69</v>
      </c>
      <c r="L159" s="197">
        <v>238458.07</v>
      </c>
      <c r="M159" s="197">
        <v>245611.81</v>
      </c>
      <c r="N159" s="197">
        <v>505960.33</v>
      </c>
      <c r="O159" s="166" t="s">
        <v>333</v>
      </c>
      <c r="P159" s="166" t="s">
        <v>334</v>
      </c>
      <c r="Q159" s="166">
        <v>5</v>
      </c>
      <c r="R159" s="166">
        <v>3</v>
      </c>
      <c r="S159" s="171">
        <v>0.03</v>
      </c>
      <c r="T159" s="166" t="s">
        <v>85</v>
      </c>
      <c r="U159" s="166" t="s">
        <v>331</v>
      </c>
      <c r="V159" s="166"/>
      <c r="W159" s="166"/>
    </row>
    <row r="160" ht="21" customHeight="1" spans="1:23">
      <c r="A160" s="166"/>
      <c r="B160" s="166"/>
      <c r="C160" s="166">
        <v>9</v>
      </c>
      <c r="D160" s="13" t="s">
        <v>332</v>
      </c>
      <c r="E160" s="168">
        <v>1873.08</v>
      </c>
      <c r="F160" s="166">
        <v>1873.08</v>
      </c>
      <c r="G160" s="173">
        <v>120</v>
      </c>
      <c r="H160" s="171">
        <v>0.5</v>
      </c>
      <c r="I160" s="166">
        <f t="shared" si="9"/>
        <v>60</v>
      </c>
      <c r="J160" s="166"/>
      <c r="K160" s="198"/>
      <c r="L160" s="198"/>
      <c r="M160" s="198"/>
      <c r="N160" s="198"/>
      <c r="O160" s="166"/>
      <c r="P160" s="166"/>
      <c r="Q160" s="166"/>
      <c r="R160" s="166"/>
      <c r="S160" s="171"/>
      <c r="T160" s="166"/>
      <c r="U160" s="166"/>
      <c r="V160" s="166"/>
      <c r="W160" s="166"/>
    </row>
    <row r="161" s="40" customFormat="1" ht="21" customHeight="1" spans="1:23">
      <c r="A161" s="166"/>
      <c r="B161" s="166"/>
      <c r="C161" s="166">
        <v>1004</v>
      </c>
      <c r="D161" s="166" t="s">
        <v>335</v>
      </c>
      <c r="E161" s="168">
        <v>716.48</v>
      </c>
      <c r="F161" s="166">
        <v>716.48</v>
      </c>
      <c r="G161" s="173">
        <v>121</v>
      </c>
      <c r="H161" s="171">
        <v>0.3</v>
      </c>
      <c r="I161" s="166">
        <v>36.3</v>
      </c>
      <c r="J161" s="166">
        <v>26008.22</v>
      </c>
      <c r="K161" s="166">
        <v>26788.47</v>
      </c>
      <c r="L161" s="166">
        <v>26788.47</v>
      </c>
      <c r="M161" s="166">
        <v>26788.47</v>
      </c>
      <c r="N161" s="166">
        <v>26788.47</v>
      </c>
      <c r="O161" s="13" t="s">
        <v>168</v>
      </c>
      <c r="P161" s="13" t="s">
        <v>99</v>
      </c>
      <c r="Q161" s="166">
        <v>5</v>
      </c>
      <c r="R161" s="166">
        <v>0</v>
      </c>
      <c r="S161" s="252" t="s">
        <v>336</v>
      </c>
      <c r="T161" s="13" t="s">
        <v>38</v>
      </c>
      <c r="U161" s="13" t="s">
        <v>337</v>
      </c>
      <c r="V161" s="166"/>
      <c r="W161" s="166"/>
    </row>
    <row r="162" ht="29.25" customHeight="1" spans="1:23">
      <c r="A162" s="166"/>
      <c r="B162" s="166"/>
      <c r="C162" s="13" t="s">
        <v>338</v>
      </c>
      <c r="D162" s="13" t="s">
        <v>339</v>
      </c>
      <c r="E162" s="168">
        <v>1156.6</v>
      </c>
      <c r="F162" s="166">
        <v>1156.6</v>
      </c>
      <c r="G162" s="173">
        <v>103</v>
      </c>
      <c r="H162" s="171">
        <v>0.4</v>
      </c>
      <c r="I162" s="166">
        <f>ROUND(H162*G162,2)</f>
        <v>41.2</v>
      </c>
      <c r="J162" s="166">
        <v>47651.92</v>
      </c>
      <c r="K162" s="166">
        <v>47651.92</v>
      </c>
      <c r="L162" s="166">
        <v>47651.92</v>
      </c>
      <c r="M162" s="13" t="s">
        <v>33</v>
      </c>
      <c r="N162" s="13" t="s">
        <v>33</v>
      </c>
      <c r="O162" s="13" t="s">
        <v>148</v>
      </c>
      <c r="P162" s="13" t="s">
        <v>149</v>
      </c>
      <c r="Q162" s="166">
        <v>3</v>
      </c>
      <c r="R162" s="166">
        <v>3</v>
      </c>
      <c r="S162" s="171">
        <v>0</v>
      </c>
      <c r="T162" s="13" t="s">
        <v>38</v>
      </c>
      <c r="U162" s="13" t="s">
        <v>340</v>
      </c>
      <c r="V162" s="166"/>
      <c r="W162" s="166"/>
    </row>
    <row r="163" s="157" customFormat="1" ht="24" customHeight="1" spans="1:23">
      <c r="A163" s="13"/>
      <c r="B163" s="13"/>
      <c r="C163" s="13">
        <v>11</v>
      </c>
      <c r="D163" s="13" t="s">
        <v>188</v>
      </c>
      <c r="E163" s="167">
        <v>1873.08</v>
      </c>
      <c r="F163" s="13">
        <v>1873.08</v>
      </c>
      <c r="G163" s="170">
        <v>104</v>
      </c>
      <c r="H163" s="184">
        <v>0.3</v>
      </c>
      <c r="I163" s="13">
        <v>31.2</v>
      </c>
      <c r="J163" s="186">
        <v>58440.1</v>
      </c>
      <c r="K163" s="186">
        <v>58440.1</v>
      </c>
      <c r="L163" s="186">
        <v>58440.1</v>
      </c>
      <c r="M163" s="186">
        <v>58440.1</v>
      </c>
      <c r="N163" s="186">
        <v>58440.1</v>
      </c>
      <c r="O163" s="13" t="s">
        <v>189</v>
      </c>
      <c r="P163" s="13" t="s">
        <v>190</v>
      </c>
      <c r="Q163" s="13">
        <v>5</v>
      </c>
      <c r="R163" s="13">
        <v>4</v>
      </c>
      <c r="S163" s="184" t="s">
        <v>37</v>
      </c>
      <c r="T163" s="13" t="s">
        <v>85</v>
      </c>
      <c r="U163" s="13" t="s">
        <v>341</v>
      </c>
      <c r="V163" s="13"/>
      <c r="W163" s="13"/>
    </row>
    <row r="164" s="40" customFormat="1" ht="32.25" customHeight="1" spans="1:23">
      <c r="A164" s="166"/>
      <c r="B164" s="166"/>
      <c r="C164" s="166">
        <v>1202</v>
      </c>
      <c r="D164" s="13" t="s">
        <v>342</v>
      </c>
      <c r="E164" s="168">
        <v>1200.62</v>
      </c>
      <c r="F164" s="166">
        <v>1200.62</v>
      </c>
      <c r="G164" s="173">
        <v>121</v>
      </c>
      <c r="H164" s="13" t="s">
        <v>269</v>
      </c>
      <c r="I164" s="13" t="s">
        <v>269</v>
      </c>
      <c r="J164" s="13" t="s">
        <v>269</v>
      </c>
      <c r="K164" s="13" t="s">
        <v>269</v>
      </c>
      <c r="L164" s="13" t="s">
        <v>269</v>
      </c>
      <c r="M164" s="13" t="s">
        <v>269</v>
      </c>
      <c r="N164" s="13" t="s">
        <v>269</v>
      </c>
      <c r="O164" s="13" t="s">
        <v>343</v>
      </c>
      <c r="P164" s="13" t="s">
        <v>344</v>
      </c>
      <c r="Q164" s="166">
        <v>5</v>
      </c>
      <c r="R164" s="13" t="s">
        <v>269</v>
      </c>
      <c r="S164" s="13" t="s">
        <v>269</v>
      </c>
      <c r="T164" s="13" t="s">
        <v>38</v>
      </c>
      <c r="U164" s="13" t="s">
        <v>345</v>
      </c>
      <c r="V164" s="172"/>
      <c r="W164" s="166"/>
    </row>
    <row r="165" ht="21" customHeight="1" spans="1:23">
      <c r="A165" s="166"/>
      <c r="B165" s="166"/>
      <c r="C165" s="166">
        <v>1201</v>
      </c>
      <c r="D165" s="166" t="s">
        <v>346</v>
      </c>
      <c r="E165" s="168">
        <v>672.46</v>
      </c>
      <c r="F165" s="166">
        <v>672.46</v>
      </c>
      <c r="G165" s="172">
        <v>105</v>
      </c>
      <c r="H165" s="171">
        <v>0.5</v>
      </c>
      <c r="I165" s="172">
        <v>52.5</v>
      </c>
      <c r="J165" s="46">
        <v>134577.39</v>
      </c>
      <c r="K165" s="46">
        <v>134577.39</v>
      </c>
      <c r="L165" s="46">
        <v>134577.39</v>
      </c>
      <c r="M165" s="46" t="s">
        <v>33</v>
      </c>
      <c r="N165" s="48" t="s">
        <v>33</v>
      </c>
      <c r="O165" s="46" t="s">
        <v>61</v>
      </c>
      <c r="P165" s="49" t="s">
        <v>134</v>
      </c>
      <c r="Q165" s="202">
        <v>3</v>
      </c>
      <c r="R165" s="49" t="s">
        <v>36</v>
      </c>
      <c r="S165" s="253" t="s">
        <v>37</v>
      </c>
      <c r="T165" s="49" t="s">
        <v>184</v>
      </c>
      <c r="U165" s="49" t="s">
        <v>347</v>
      </c>
      <c r="V165" s="172"/>
      <c r="W165" s="166"/>
    </row>
    <row r="166" ht="21" customHeight="1" spans="1:23">
      <c r="A166" s="166"/>
      <c r="B166" s="166"/>
      <c r="C166" s="166">
        <v>13</v>
      </c>
      <c r="D166" s="13" t="s">
        <v>346</v>
      </c>
      <c r="E166" s="168">
        <v>1873.08</v>
      </c>
      <c r="F166" s="166">
        <v>1873.08</v>
      </c>
      <c r="G166" s="172">
        <v>106</v>
      </c>
      <c r="H166" s="171">
        <v>0.5</v>
      </c>
      <c r="I166" s="172">
        <v>53</v>
      </c>
      <c r="J166" s="198"/>
      <c r="K166" s="198"/>
      <c r="L166" s="198"/>
      <c r="M166" s="198"/>
      <c r="N166" s="254"/>
      <c r="O166" s="198"/>
      <c r="P166" s="169"/>
      <c r="Q166" s="169"/>
      <c r="R166" s="169"/>
      <c r="S166" s="169"/>
      <c r="T166" s="169"/>
      <c r="U166" s="169"/>
      <c r="V166" s="172"/>
      <c r="W166" s="166"/>
    </row>
    <row r="167" ht="21" customHeight="1" spans="1:23">
      <c r="A167" s="166"/>
      <c r="B167" s="166"/>
      <c r="C167" s="166">
        <v>14</v>
      </c>
      <c r="D167" s="166" t="s">
        <v>348</v>
      </c>
      <c r="E167" s="168">
        <v>1873.08</v>
      </c>
      <c r="F167" s="166">
        <v>1873.08</v>
      </c>
      <c r="G167" s="173">
        <v>123</v>
      </c>
      <c r="H167" s="171">
        <v>0.5</v>
      </c>
      <c r="I167" s="166">
        <v>61.5</v>
      </c>
      <c r="J167" s="183">
        <v>351202.5</v>
      </c>
      <c r="K167" s="194">
        <v>361766.67</v>
      </c>
      <c r="L167" s="194">
        <v>372619.67</v>
      </c>
      <c r="M167" s="194">
        <v>383798.26</v>
      </c>
      <c r="N167" s="194">
        <v>790563.01</v>
      </c>
      <c r="O167" s="166" t="s">
        <v>349</v>
      </c>
      <c r="P167" s="166" t="s">
        <v>350</v>
      </c>
      <c r="Q167" s="166">
        <v>5</v>
      </c>
      <c r="R167" s="166">
        <v>2</v>
      </c>
      <c r="S167" s="171">
        <v>0.03</v>
      </c>
      <c r="T167" s="166" t="s">
        <v>85</v>
      </c>
      <c r="U167" s="166" t="s">
        <v>351</v>
      </c>
      <c r="V167" s="166"/>
      <c r="W167" s="166"/>
    </row>
    <row r="168" ht="21" customHeight="1" spans="1:23">
      <c r="A168" s="166"/>
      <c r="B168" s="166"/>
      <c r="C168" s="166">
        <v>15</v>
      </c>
      <c r="D168" s="13" t="s">
        <v>348</v>
      </c>
      <c r="E168" s="168">
        <v>1873.08</v>
      </c>
      <c r="F168" s="166">
        <v>1873.08</v>
      </c>
      <c r="G168" s="173">
        <v>125</v>
      </c>
      <c r="H168" s="171">
        <v>0.5</v>
      </c>
      <c r="I168" s="166">
        <v>62.5</v>
      </c>
      <c r="J168" s="183"/>
      <c r="K168" s="211"/>
      <c r="L168" s="211"/>
      <c r="M168" s="211"/>
      <c r="N168" s="211"/>
      <c r="O168" s="166"/>
      <c r="P168" s="166"/>
      <c r="Q168" s="166"/>
      <c r="R168" s="166"/>
      <c r="S168" s="171"/>
      <c r="T168" s="166"/>
      <c r="U168" s="166"/>
      <c r="V168" s="166"/>
      <c r="W168" s="166"/>
    </row>
    <row r="169" ht="21" customHeight="1" spans="1:23">
      <c r="A169" s="166"/>
      <c r="B169" s="166"/>
      <c r="C169" s="166">
        <v>16</v>
      </c>
      <c r="D169" s="13" t="s">
        <v>348</v>
      </c>
      <c r="E169" s="168">
        <v>1873.08</v>
      </c>
      <c r="F169" s="166">
        <v>1873.08</v>
      </c>
      <c r="G169" s="173">
        <v>127</v>
      </c>
      <c r="H169" s="171">
        <v>0.5</v>
      </c>
      <c r="I169" s="166">
        <v>63.5</v>
      </c>
      <c r="J169" s="183"/>
      <c r="K169" s="195"/>
      <c r="L169" s="195"/>
      <c r="M169" s="195"/>
      <c r="N169" s="195"/>
      <c r="O169" s="166"/>
      <c r="P169" s="166"/>
      <c r="Q169" s="166"/>
      <c r="R169" s="166"/>
      <c r="S169" s="171"/>
      <c r="T169" s="166"/>
      <c r="U169" s="166"/>
      <c r="V169" s="166"/>
      <c r="W169" s="166"/>
    </row>
    <row r="170" ht="21" customHeight="1" spans="1:23">
      <c r="A170" s="166"/>
      <c r="B170" s="166"/>
      <c r="C170" s="166">
        <v>17</v>
      </c>
      <c r="D170" s="13" t="s">
        <v>352</v>
      </c>
      <c r="E170" s="168">
        <v>1873.08</v>
      </c>
      <c r="F170" s="166">
        <v>1873.08</v>
      </c>
      <c r="G170" s="173">
        <v>129</v>
      </c>
      <c r="H170" s="13" t="s">
        <v>269</v>
      </c>
      <c r="I170" s="13" t="s">
        <v>269</v>
      </c>
      <c r="J170" s="13" t="s">
        <v>269</v>
      </c>
      <c r="K170" s="13" t="s">
        <v>269</v>
      </c>
      <c r="L170" s="13" t="s">
        <v>269</v>
      </c>
      <c r="M170" s="13" t="s">
        <v>269</v>
      </c>
      <c r="N170" s="13" t="s">
        <v>269</v>
      </c>
      <c r="O170" s="166" t="s">
        <v>353</v>
      </c>
      <c r="P170" s="166" t="s">
        <v>354</v>
      </c>
      <c r="Q170" s="166">
        <v>5</v>
      </c>
      <c r="R170" s="166">
        <v>0</v>
      </c>
      <c r="S170" s="166" t="s">
        <v>37</v>
      </c>
      <c r="T170" s="166" t="s">
        <v>355</v>
      </c>
      <c r="U170" s="166" t="s">
        <v>351</v>
      </c>
      <c r="V170" s="166"/>
      <c r="W170" s="166"/>
    </row>
    <row r="171" ht="21" customHeight="1" spans="1:23">
      <c r="A171" s="14"/>
      <c r="B171" s="14"/>
      <c r="C171" s="14"/>
      <c r="D171" s="100" t="s">
        <v>356</v>
      </c>
      <c r="E171" s="14">
        <f>SUM(E4:E170)</f>
        <v>255083.35</v>
      </c>
      <c r="F171" s="14">
        <f>SUM(F4:F170)</f>
        <v>255059.13</v>
      </c>
      <c r="G171"/>
      <c r="H171"/>
      <c r="I171"/>
      <c r="J171"/>
      <c r="K171"/>
      <c r="L171"/>
      <c r="M171" s="113"/>
      <c r="N171"/>
      <c r="O171"/>
      <c r="P171"/>
      <c r="Q171"/>
      <c r="R171"/>
      <c r="S171"/>
      <c r="T171"/>
      <c r="U171"/>
      <c r="V171"/>
      <c r="W171"/>
    </row>
    <row r="172" ht="21" customHeight="1" spans="1:23">
      <c r="A172" s="113" t="s">
        <v>357</v>
      </c>
      <c r="B172" s="113"/>
      <c r="C172" s="113"/>
      <c r="D172" s="113"/>
      <c r="E172" s="113"/>
      <c r="F172" s="113"/>
      <c r="G172" s="113"/>
      <c r="H172" s="113"/>
      <c r="I172" s="113"/>
      <c r="J172" s="113"/>
      <c r="K172" s="113"/>
      <c r="L172" s="113"/>
      <c r="M172"/>
      <c r="N172"/>
      <c r="O172"/>
      <c r="P172"/>
      <c r="Q172"/>
      <c r="R172"/>
      <c r="S172"/>
      <c r="T172"/>
      <c r="U172"/>
      <c r="V172"/>
      <c r="W172"/>
    </row>
    <row r="174" spans="1:23">
      <c r="G174" s="161"/>
      <c r="H174" s="161"/>
      <c r="I174" s="161"/>
      <c r="J174" s="161"/>
      <c r="K174" s="161"/>
      <c r="L174" s="161"/>
    </row>
    <row r="175" spans="1:23">
      <c r="G175" s="255"/>
      <c r="H175" s="161"/>
      <c r="I175" s="256"/>
      <c r="J175" s="161"/>
      <c r="K175" s="161"/>
      <c r="L175" s="161"/>
    </row>
    <row r="176" spans="1:23">
      <c r="G176" s="255"/>
      <c r="H176" s="161"/>
      <c r="I176" s="256"/>
      <c r="J176" s="161"/>
      <c r="K176" s="161"/>
      <c r="L176" s="161"/>
    </row>
    <row r="177" spans="7:12">
      <c r="G177" s="161"/>
      <c r="H177" s="161"/>
      <c r="I177" s="161"/>
      <c r="J177" s="161"/>
      <c r="K177" s="161"/>
      <c r="L177" s="161"/>
    </row>
    <row r="178" spans="7:12">
      <c r="G178" s="161"/>
      <c r="H178" s="161"/>
      <c r="I178" s="161"/>
      <c r="J178" s="161"/>
      <c r="K178" s="161"/>
      <c r="L178" s="161"/>
    </row>
    <row r="179" spans="7:12">
      <c r="G179" s="161"/>
      <c r="H179" s="161"/>
      <c r="I179" s="161"/>
      <c r="J179" s="161"/>
      <c r="K179" s="161"/>
      <c r="L179" s="161"/>
    </row>
    <row r="180" spans="7:12">
      <c r="G180" s="161"/>
      <c r="H180" s="161"/>
      <c r="I180" s="161"/>
      <c r="J180" s="161"/>
      <c r="K180" s="161"/>
      <c r="L180" s="161"/>
    </row>
  </sheetData>
  <sheetProtection formatCells="0" formatColumns="0" formatRows="0" insertRows="0" insertColumns="0" insertHyperlinks="0" deleteColumns="0" deleteRows="0" sort="0" autoFilter="0" pivotTables="0"/>
  <autoFilter xmlns:etc="http://www.wps.cn/officeDocument/2017/etCustomData" ref="A1:W172" etc:filterBottomFollowUsedRange="0">
    <extLst/>
  </autoFilter>
  <mergeCells count="338">
    <mergeCell ref="A1:W1"/>
    <mergeCell ref="J4:S4"/>
    <mergeCell ref="J5:S5"/>
    <mergeCell ref="J37:S37"/>
    <mergeCell ref="J38:S38"/>
    <mergeCell ref="R109:S109"/>
    <mergeCell ref="A172:L172"/>
    <mergeCell ref="A2:A3"/>
    <mergeCell ref="B2:B3"/>
    <mergeCell ref="B4:B36"/>
    <mergeCell ref="B37:B69"/>
    <mergeCell ref="B70:B105"/>
    <mergeCell ref="B106:B127"/>
    <mergeCell ref="B128:B154"/>
    <mergeCell ref="B155:B170"/>
    <mergeCell ref="C2:C3"/>
    <mergeCell ref="D2:D3"/>
    <mergeCell ref="E2:E3"/>
    <mergeCell ref="F2:F3"/>
    <mergeCell ref="G2:G3"/>
    <mergeCell ref="H2:H3"/>
    <mergeCell ref="I2:I3"/>
    <mergeCell ref="J2:J3"/>
    <mergeCell ref="J10:J12"/>
    <mergeCell ref="J65:J67"/>
    <mergeCell ref="J88:J89"/>
    <mergeCell ref="J102:J103"/>
    <mergeCell ref="J107:J108"/>
    <mergeCell ref="J113:J118"/>
    <mergeCell ref="J119:J121"/>
    <mergeCell ref="J122:J123"/>
    <mergeCell ref="J155:J156"/>
    <mergeCell ref="J157:J158"/>
    <mergeCell ref="J159:J160"/>
    <mergeCell ref="J165:J166"/>
    <mergeCell ref="J167:J169"/>
    <mergeCell ref="K2:K3"/>
    <mergeCell ref="K10:K12"/>
    <mergeCell ref="K13:K14"/>
    <mergeCell ref="K24:K25"/>
    <mergeCell ref="K40:K41"/>
    <mergeCell ref="K43:K47"/>
    <mergeCell ref="K65:K67"/>
    <mergeCell ref="K88:K89"/>
    <mergeCell ref="K102:K103"/>
    <mergeCell ref="K107:K108"/>
    <mergeCell ref="K113:K118"/>
    <mergeCell ref="K119:K121"/>
    <mergeCell ref="K122:K123"/>
    <mergeCell ref="K138:K139"/>
    <mergeCell ref="K141:K143"/>
    <mergeCell ref="K149:K150"/>
    <mergeCell ref="K155:K156"/>
    <mergeCell ref="K157:K158"/>
    <mergeCell ref="K159:K160"/>
    <mergeCell ref="K165:K166"/>
    <mergeCell ref="K167:K169"/>
    <mergeCell ref="L2:L3"/>
    <mergeCell ref="L10:L12"/>
    <mergeCell ref="L13:L14"/>
    <mergeCell ref="L24:L25"/>
    <mergeCell ref="L40:L41"/>
    <mergeCell ref="L43:L47"/>
    <mergeCell ref="L65:L67"/>
    <mergeCell ref="L88:L89"/>
    <mergeCell ref="L102:L103"/>
    <mergeCell ref="L107:L108"/>
    <mergeCell ref="L113:L118"/>
    <mergeCell ref="L119:L121"/>
    <mergeCell ref="L122:L123"/>
    <mergeCell ref="L138:L139"/>
    <mergeCell ref="L141:L143"/>
    <mergeCell ref="L149:L150"/>
    <mergeCell ref="L155:L156"/>
    <mergeCell ref="L157:L158"/>
    <mergeCell ref="L159:L160"/>
    <mergeCell ref="L165:L166"/>
    <mergeCell ref="L167:L169"/>
    <mergeCell ref="M2:M3"/>
    <mergeCell ref="M10:M12"/>
    <mergeCell ref="M13:M14"/>
    <mergeCell ref="M24:M25"/>
    <mergeCell ref="M40:M41"/>
    <mergeCell ref="M43:M47"/>
    <mergeCell ref="M65:M67"/>
    <mergeCell ref="M88:M89"/>
    <mergeCell ref="M113:M118"/>
    <mergeCell ref="M119:M121"/>
    <mergeCell ref="M122:M123"/>
    <mergeCell ref="M138:M139"/>
    <mergeCell ref="M141:M143"/>
    <mergeCell ref="M149:M150"/>
    <mergeCell ref="M155:M156"/>
    <mergeCell ref="M157:M158"/>
    <mergeCell ref="M159:M160"/>
    <mergeCell ref="M165:M166"/>
    <mergeCell ref="M167:M169"/>
    <mergeCell ref="N2:N3"/>
    <mergeCell ref="N10:N12"/>
    <mergeCell ref="N13:N14"/>
    <mergeCell ref="N24:N25"/>
    <mergeCell ref="N40:N41"/>
    <mergeCell ref="N43:N47"/>
    <mergeCell ref="N65:N67"/>
    <mergeCell ref="N88:N89"/>
    <mergeCell ref="N113:N118"/>
    <mergeCell ref="N119:N121"/>
    <mergeCell ref="N122:N123"/>
    <mergeCell ref="N141:N143"/>
    <mergeCell ref="N149:N150"/>
    <mergeCell ref="N155:N156"/>
    <mergeCell ref="N157:N158"/>
    <mergeCell ref="N159:N160"/>
    <mergeCell ref="N165:N166"/>
    <mergeCell ref="N167:N169"/>
    <mergeCell ref="O2:O3"/>
    <mergeCell ref="O10:O12"/>
    <mergeCell ref="O13:O14"/>
    <mergeCell ref="O18:O22"/>
    <mergeCell ref="O24:O25"/>
    <mergeCell ref="O26:O28"/>
    <mergeCell ref="O30:O36"/>
    <mergeCell ref="O40:O41"/>
    <mergeCell ref="O43:O47"/>
    <mergeCell ref="O50:O55"/>
    <mergeCell ref="O57:O58"/>
    <mergeCell ref="O59:O64"/>
    <mergeCell ref="O65:O67"/>
    <mergeCell ref="O107:O108"/>
    <mergeCell ref="O113:O118"/>
    <mergeCell ref="O119:O121"/>
    <mergeCell ref="O122:O123"/>
    <mergeCell ref="O134:O137"/>
    <mergeCell ref="O138:O139"/>
    <mergeCell ref="O141:O143"/>
    <mergeCell ref="O149:O150"/>
    <mergeCell ref="O155:O156"/>
    <mergeCell ref="O157:O158"/>
    <mergeCell ref="O159:O160"/>
    <mergeCell ref="O165:O166"/>
    <mergeCell ref="O167:O169"/>
    <mergeCell ref="P2:P3"/>
    <mergeCell ref="P10:P12"/>
    <mergeCell ref="P13:P14"/>
    <mergeCell ref="P18:P22"/>
    <mergeCell ref="P24:P25"/>
    <mergeCell ref="P26:P28"/>
    <mergeCell ref="P30:P36"/>
    <mergeCell ref="P40:P41"/>
    <mergeCell ref="P43:P47"/>
    <mergeCell ref="P50:P55"/>
    <mergeCell ref="P57:P58"/>
    <mergeCell ref="P59:P64"/>
    <mergeCell ref="P65:P67"/>
    <mergeCell ref="P107:P108"/>
    <mergeCell ref="P113:P118"/>
    <mergeCell ref="P119:P121"/>
    <mergeCell ref="P122:P123"/>
    <mergeCell ref="P134:P137"/>
    <mergeCell ref="P138:P139"/>
    <mergeCell ref="P141:P143"/>
    <mergeCell ref="P149:P150"/>
    <mergeCell ref="P155:P156"/>
    <mergeCell ref="P157:P158"/>
    <mergeCell ref="P159:P160"/>
    <mergeCell ref="P165:P166"/>
    <mergeCell ref="P167:P169"/>
    <mergeCell ref="Q2:Q3"/>
    <mergeCell ref="Q10:Q12"/>
    <mergeCell ref="Q13:Q14"/>
    <mergeCell ref="Q18:Q22"/>
    <mergeCell ref="Q24:Q25"/>
    <mergeCell ref="Q26:Q28"/>
    <mergeCell ref="Q30:Q36"/>
    <mergeCell ref="Q40:Q41"/>
    <mergeCell ref="Q43:Q47"/>
    <mergeCell ref="Q50:Q55"/>
    <mergeCell ref="Q57:Q58"/>
    <mergeCell ref="Q59:Q64"/>
    <mergeCell ref="Q65:Q67"/>
    <mergeCell ref="Q107:Q108"/>
    <mergeCell ref="Q113:Q118"/>
    <mergeCell ref="Q119:Q121"/>
    <mergeCell ref="Q122:Q123"/>
    <mergeCell ref="Q134:Q137"/>
    <mergeCell ref="Q138:Q139"/>
    <mergeCell ref="Q141:Q143"/>
    <mergeCell ref="Q149:Q150"/>
    <mergeCell ref="Q155:Q156"/>
    <mergeCell ref="Q157:Q158"/>
    <mergeCell ref="Q159:Q160"/>
    <mergeCell ref="Q165:Q166"/>
    <mergeCell ref="Q167:Q169"/>
    <mergeCell ref="R2:R3"/>
    <mergeCell ref="R10:R12"/>
    <mergeCell ref="R13:R14"/>
    <mergeCell ref="R18:R22"/>
    <mergeCell ref="R24:R25"/>
    <mergeCell ref="R26:R28"/>
    <mergeCell ref="R30:R36"/>
    <mergeCell ref="R40:R41"/>
    <mergeCell ref="R43:R47"/>
    <mergeCell ref="R50:R55"/>
    <mergeCell ref="R57:R58"/>
    <mergeCell ref="R59:R64"/>
    <mergeCell ref="R65:R67"/>
    <mergeCell ref="R107:R108"/>
    <mergeCell ref="R113:R118"/>
    <mergeCell ref="R119:R121"/>
    <mergeCell ref="R122:R123"/>
    <mergeCell ref="R138:R139"/>
    <mergeCell ref="R141:R143"/>
    <mergeCell ref="R149:R150"/>
    <mergeCell ref="R155:R156"/>
    <mergeCell ref="R157:R158"/>
    <mergeCell ref="R159:R160"/>
    <mergeCell ref="R165:R166"/>
    <mergeCell ref="R167:R169"/>
    <mergeCell ref="S2:S3"/>
    <mergeCell ref="S10:S12"/>
    <mergeCell ref="S13:S14"/>
    <mergeCell ref="S18:S22"/>
    <mergeCell ref="S24:S25"/>
    <mergeCell ref="S26:S28"/>
    <mergeCell ref="S30:S36"/>
    <mergeCell ref="S40:S41"/>
    <mergeCell ref="S43:S47"/>
    <mergeCell ref="S50:S55"/>
    <mergeCell ref="S57:S58"/>
    <mergeCell ref="S59:S64"/>
    <mergeCell ref="S65:S67"/>
    <mergeCell ref="S107:S108"/>
    <mergeCell ref="S113:S118"/>
    <mergeCell ref="S119:S121"/>
    <mergeCell ref="S122:S123"/>
    <mergeCell ref="S138:S139"/>
    <mergeCell ref="S141:S143"/>
    <mergeCell ref="S149:S150"/>
    <mergeCell ref="S155:S156"/>
    <mergeCell ref="S157:S158"/>
    <mergeCell ref="S159:S160"/>
    <mergeCell ref="S165:S166"/>
    <mergeCell ref="S167:S169"/>
    <mergeCell ref="T2:T3"/>
    <mergeCell ref="T10:T12"/>
    <mergeCell ref="T13:T14"/>
    <mergeCell ref="T18:T22"/>
    <mergeCell ref="T24:T25"/>
    <mergeCell ref="T26:T28"/>
    <mergeCell ref="T30:T36"/>
    <mergeCell ref="T40:T41"/>
    <mergeCell ref="T43:T47"/>
    <mergeCell ref="T50:T55"/>
    <mergeCell ref="T57:T58"/>
    <mergeCell ref="T59:T64"/>
    <mergeCell ref="T65:T67"/>
    <mergeCell ref="T107:T108"/>
    <mergeCell ref="T113:T118"/>
    <mergeCell ref="T119:T121"/>
    <mergeCell ref="T122:T123"/>
    <mergeCell ref="T134:T137"/>
    <mergeCell ref="T138:T139"/>
    <mergeCell ref="T141:T143"/>
    <mergeCell ref="T149:T150"/>
    <mergeCell ref="T155:T156"/>
    <mergeCell ref="T157:T158"/>
    <mergeCell ref="T159:T160"/>
    <mergeCell ref="T165:T166"/>
    <mergeCell ref="T167:T169"/>
    <mergeCell ref="U2:U3"/>
    <mergeCell ref="U10:U12"/>
    <mergeCell ref="U13:U14"/>
    <mergeCell ref="U18:U19"/>
    <mergeCell ref="U20:U22"/>
    <mergeCell ref="U24:U25"/>
    <mergeCell ref="U26:U28"/>
    <mergeCell ref="U30:U36"/>
    <mergeCell ref="U40:U41"/>
    <mergeCell ref="U43:U47"/>
    <mergeCell ref="U50:U55"/>
    <mergeCell ref="U57:U58"/>
    <mergeCell ref="U59:U64"/>
    <mergeCell ref="U65:U67"/>
    <mergeCell ref="U107:U108"/>
    <mergeCell ref="U113:U118"/>
    <mergeCell ref="U119:U121"/>
    <mergeCell ref="U122:U123"/>
    <mergeCell ref="U134:U137"/>
    <mergeCell ref="U138:U139"/>
    <mergeCell ref="U142:U143"/>
    <mergeCell ref="U149:U150"/>
    <mergeCell ref="U155:U156"/>
    <mergeCell ref="U157:U158"/>
    <mergeCell ref="U159:U160"/>
    <mergeCell ref="U165:U166"/>
    <mergeCell ref="U167:U169"/>
    <mergeCell ref="V2:V3"/>
    <mergeCell ref="V4:V9"/>
    <mergeCell ref="V10:V14"/>
    <mergeCell ref="V15:V25"/>
    <mergeCell ref="V26:V36"/>
    <mergeCell ref="V37:V47"/>
    <mergeCell ref="V48:V69"/>
    <mergeCell ref="V70:V71"/>
    <mergeCell ref="V72:V83"/>
    <mergeCell ref="V84:V106"/>
    <mergeCell ref="V107:V127"/>
    <mergeCell ref="V128:V154"/>
    <mergeCell ref="V155:V170"/>
    <mergeCell ref="W2:W3"/>
    <mergeCell ref="W10:W12"/>
    <mergeCell ref="W13:W14"/>
    <mergeCell ref="W18:W22"/>
    <mergeCell ref="W24:W25"/>
    <mergeCell ref="W26:W28"/>
    <mergeCell ref="W30:W36"/>
    <mergeCell ref="W37:W38"/>
    <mergeCell ref="W40:W41"/>
    <mergeCell ref="W43:W47"/>
    <mergeCell ref="W50:W55"/>
    <mergeCell ref="W57:W58"/>
    <mergeCell ref="W59:W64"/>
    <mergeCell ref="W65:W67"/>
    <mergeCell ref="W81:W82"/>
    <mergeCell ref="W88:W89"/>
    <mergeCell ref="W102:W103"/>
    <mergeCell ref="W104:W105"/>
    <mergeCell ref="W113:W118"/>
    <mergeCell ref="W119:W121"/>
    <mergeCell ref="W134:W137"/>
    <mergeCell ref="W138:W139"/>
    <mergeCell ref="W141:W143"/>
    <mergeCell ref="W149:W150"/>
    <mergeCell ref="W155:W156"/>
    <mergeCell ref="W157:W158"/>
    <mergeCell ref="W159:W160"/>
    <mergeCell ref="W164:W166"/>
    <mergeCell ref="W167:W169"/>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8"/>
  <sheetViews>
    <sheetView topLeftCell="E40" workbookViewId="0">
      <selection activeCell="E40" sqref="E40:F40"/>
    </sheetView>
  </sheetViews>
  <sheetFormatPr defaultColWidth="9" defaultRowHeight="32.25" customHeight="1"/>
  <cols>
    <col min="1" max="1" width="6" customWidth="1"/>
    <col min="6" max="7" width="10.5" customWidth="1"/>
    <col min="8" max="8" width="23.125" style="29" customWidth="1"/>
    <col min="13" max="13" width="10.375"/>
    <col min="15" max="15" width="11.5"/>
    <col min="17" max="17" width="12.625"/>
    <col min="19" max="19" width="11.5"/>
  </cols>
  <sheetData>
    <row r="1" ht="36" customHeight="1" spans="1:19">
      <c r="A1" s="9" t="s">
        <v>358</v>
      </c>
      <c r="B1" s="9"/>
      <c r="C1" s="9"/>
      <c r="D1" s="9"/>
      <c r="E1" s="9"/>
      <c r="F1" s="9"/>
      <c r="G1" s="9"/>
      <c r="H1" s="9"/>
    </row>
    <row r="2" customHeight="1" spans="1:19">
      <c r="A2" s="10" t="s">
        <v>1</v>
      </c>
      <c r="B2" s="10" t="s">
        <v>359</v>
      </c>
      <c r="C2" s="11" t="s">
        <v>22</v>
      </c>
      <c r="D2" s="10" t="s">
        <v>360</v>
      </c>
      <c r="E2" s="10" t="s">
        <v>361</v>
      </c>
      <c r="F2" s="11" t="s">
        <v>362</v>
      </c>
      <c r="G2" s="12" t="s">
        <v>363</v>
      </c>
      <c r="H2" s="13" t="s">
        <v>23</v>
      </c>
    </row>
    <row r="3" customHeight="1" spans="1:19">
      <c r="A3" s="10">
        <v>1</v>
      </c>
      <c r="B3" s="142" t="s">
        <v>364</v>
      </c>
      <c r="C3" s="143" t="s">
        <v>31</v>
      </c>
      <c r="D3" s="142">
        <v>1903.04</v>
      </c>
      <c r="E3" s="142">
        <v>103</v>
      </c>
      <c r="F3" s="143" t="s">
        <v>91</v>
      </c>
      <c r="G3" s="143" t="s">
        <v>365</v>
      </c>
      <c r="H3" s="13" t="s">
        <v>366</v>
      </c>
      <c r="I3" s="144"/>
    </row>
    <row r="4" ht="46.5" customHeight="1" spans="1:19">
      <c r="A4" s="10">
        <v>2</v>
      </c>
      <c r="B4" s="10" t="s">
        <v>367</v>
      </c>
      <c r="C4" s="11" t="s">
        <v>31</v>
      </c>
      <c r="D4" s="10">
        <v>1074.39</v>
      </c>
      <c r="E4" s="10">
        <v>108</v>
      </c>
      <c r="F4" s="11" t="s">
        <v>91</v>
      </c>
      <c r="G4" s="11" t="s">
        <v>368</v>
      </c>
      <c r="H4" s="13" t="s">
        <v>369</v>
      </c>
      <c r="I4" s="33"/>
    </row>
    <row r="5" customHeight="1" spans="1:19">
      <c r="A5" s="10">
        <v>3</v>
      </c>
      <c r="B5" s="10" t="s">
        <v>370</v>
      </c>
      <c r="C5" s="11" t="s">
        <v>31</v>
      </c>
      <c r="D5" s="10">
        <v>783.81</v>
      </c>
      <c r="E5" s="10">
        <v>109</v>
      </c>
      <c r="F5" s="11" t="s">
        <v>91</v>
      </c>
      <c r="G5" s="11" t="s">
        <v>368</v>
      </c>
      <c r="H5" s="13" t="s">
        <v>371</v>
      </c>
      <c r="I5" s="145"/>
      <c r="M5" s="146"/>
      <c r="Q5" s="146"/>
      <c r="S5" s="146"/>
    </row>
    <row r="6" customHeight="1" spans="1:19">
      <c r="A6" s="10">
        <v>4</v>
      </c>
      <c r="B6" s="10" t="s">
        <v>372</v>
      </c>
      <c r="C6" s="11" t="s">
        <v>31</v>
      </c>
      <c r="D6" s="10">
        <v>427.39</v>
      </c>
      <c r="E6" s="10">
        <v>113</v>
      </c>
      <c r="F6" s="11" t="s">
        <v>91</v>
      </c>
      <c r="G6" s="11" t="s">
        <v>373</v>
      </c>
      <c r="H6" s="13" t="s">
        <v>374</v>
      </c>
      <c r="I6" s="145"/>
      <c r="M6" s="146"/>
      <c r="Q6" s="146"/>
      <c r="S6" s="146"/>
    </row>
    <row r="7" customHeight="1" spans="1:19">
      <c r="A7" s="10">
        <v>5</v>
      </c>
      <c r="B7" s="142" t="s">
        <v>375</v>
      </c>
      <c r="C7" s="143" t="s">
        <v>31</v>
      </c>
      <c r="D7" s="142">
        <v>1712.18</v>
      </c>
      <c r="E7" s="142">
        <v>105</v>
      </c>
      <c r="F7" s="143" t="s">
        <v>376</v>
      </c>
      <c r="G7" s="143" t="s">
        <v>365</v>
      </c>
      <c r="H7" s="13" t="s">
        <v>377</v>
      </c>
      <c r="I7" s="145"/>
      <c r="M7" s="146"/>
      <c r="Q7" s="146"/>
      <c r="S7" s="146"/>
    </row>
    <row r="8" customHeight="1" spans="1:19">
      <c r="A8" s="147" t="s">
        <v>378</v>
      </c>
      <c r="B8" s="148"/>
      <c r="C8" s="148"/>
      <c r="D8" s="16">
        <f>SUM(D3:D7)</f>
        <v>5900.81</v>
      </c>
      <c r="E8" s="23" t="s">
        <v>379</v>
      </c>
      <c r="F8" s="149"/>
      <c r="G8" s="28">
        <f>D8/256101.83*100%</f>
        <v>0.0230408740148401</v>
      </c>
      <c r="H8" s="27"/>
      <c r="S8" s="146"/>
    </row>
    <row r="9" customHeight="1" spans="1:19">
      <c r="A9" s="150" t="s">
        <v>380</v>
      </c>
      <c r="B9" s="151"/>
      <c r="C9" s="151"/>
      <c r="S9" s="146"/>
    </row>
    <row r="10" customHeight="1" spans="1:19">
      <c r="A10" s="152"/>
      <c r="B10" s="153"/>
      <c r="C10" s="153"/>
      <c r="S10" s="146"/>
    </row>
    <row r="11" customHeight="1" spans="1:19">
      <c r="A11" s="30" t="s">
        <v>381</v>
      </c>
      <c r="B11" s="32"/>
      <c r="C11" s="32"/>
      <c r="D11" s="32"/>
      <c r="E11" s="32"/>
      <c r="F11" s="32"/>
      <c r="G11" s="32"/>
      <c r="H11" s="32"/>
    </row>
    <row r="12" customHeight="1" spans="1:19">
      <c r="A12" s="10">
        <v>1</v>
      </c>
      <c r="B12" s="10" t="s">
        <v>382</v>
      </c>
      <c r="C12" s="11" t="s">
        <v>31</v>
      </c>
      <c r="D12" s="10">
        <v>1718</v>
      </c>
      <c r="E12" s="10"/>
      <c r="F12" s="11" t="s">
        <v>383</v>
      </c>
      <c r="G12" s="11" t="s">
        <v>384</v>
      </c>
      <c r="H12" s="4" t="s">
        <v>385</v>
      </c>
      <c r="I12" s="42"/>
    </row>
    <row r="13" customHeight="1" spans="1:19">
      <c r="A13" s="10">
        <v>2</v>
      </c>
      <c r="B13" s="10" t="s">
        <v>386</v>
      </c>
      <c r="C13" s="11" t="s">
        <v>31</v>
      </c>
      <c r="D13" s="10">
        <v>1169.95</v>
      </c>
      <c r="E13" s="10"/>
      <c r="F13" s="11" t="s">
        <v>383</v>
      </c>
      <c r="G13" s="11" t="s">
        <v>384</v>
      </c>
      <c r="H13" s="4" t="s">
        <v>385</v>
      </c>
      <c r="I13" s="154"/>
    </row>
    <row r="14" customHeight="1" spans="1:19">
      <c r="A14" s="10">
        <v>3</v>
      </c>
      <c r="B14" s="10" t="s">
        <v>386</v>
      </c>
      <c r="C14" s="11" t="s">
        <v>355</v>
      </c>
      <c r="D14" s="10">
        <v>548.05</v>
      </c>
      <c r="E14" s="10"/>
      <c r="F14" s="11" t="s">
        <v>383</v>
      </c>
      <c r="G14" s="11" t="s">
        <v>384</v>
      </c>
      <c r="H14" s="4" t="s">
        <v>385</v>
      </c>
      <c r="I14" s="154"/>
    </row>
    <row r="15" customHeight="1" spans="1:19">
      <c r="A15" s="10">
        <v>4</v>
      </c>
      <c r="B15" s="10" t="s">
        <v>387</v>
      </c>
      <c r="C15" s="11" t="s">
        <v>355</v>
      </c>
      <c r="D15" s="10">
        <v>1718</v>
      </c>
      <c r="E15" s="10"/>
      <c r="F15" s="11" t="s">
        <v>383</v>
      </c>
      <c r="G15" s="11" t="s">
        <v>384</v>
      </c>
      <c r="H15" s="4" t="s">
        <v>385</v>
      </c>
      <c r="I15" s="154"/>
    </row>
    <row r="16" customHeight="1" spans="1:19">
      <c r="A16" s="10">
        <v>5</v>
      </c>
      <c r="B16" s="16" t="s">
        <v>388</v>
      </c>
      <c r="C16" s="17" t="s">
        <v>31</v>
      </c>
      <c r="D16" s="16">
        <v>1759.38</v>
      </c>
      <c r="E16" s="16"/>
      <c r="F16" s="11" t="s">
        <v>383</v>
      </c>
      <c r="G16" s="11" t="s">
        <v>384</v>
      </c>
      <c r="H16" s="13" t="s">
        <v>389</v>
      </c>
      <c r="I16" s="145"/>
      <c r="M16" s="146"/>
      <c r="Q16" s="146"/>
      <c r="S16" s="146"/>
    </row>
    <row r="17" customHeight="1" spans="1:19">
      <c r="A17" s="10">
        <v>6</v>
      </c>
      <c r="B17" s="10" t="s">
        <v>390</v>
      </c>
      <c r="C17" s="11" t="s">
        <v>355</v>
      </c>
      <c r="D17" s="10">
        <v>1717.07</v>
      </c>
      <c r="E17" s="10"/>
      <c r="F17" s="11" t="s">
        <v>383</v>
      </c>
      <c r="G17" s="11" t="s">
        <v>384</v>
      </c>
      <c r="H17" s="13" t="s">
        <v>389</v>
      </c>
      <c r="M17" s="146"/>
      <c r="Q17" s="146"/>
      <c r="S17" s="146"/>
    </row>
    <row r="18" customHeight="1" spans="1:19">
      <c r="A18" s="10">
        <v>7</v>
      </c>
      <c r="B18" s="10" t="s">
        <v>391</v>
      </c>
      <c r="C18" s="11" t="s">
        <v>31</v>
      </c>
      <c r="D18" s="10">
        <v>889.49</v>
      </c>
      <c r="E18" s="10"/>
      <c r="F18" s="11" t="s">
        <v>392</v>
      </c>
      <c r="G18" s="11" t="s">
        <v>393</v>
      </c>
      <c r="H18" s="13" t="s">
        <v>394</v>
      </c>
      <c r="M18" s="146"/>
      <c r="Q18" s="146"/>
      <c r="S18" s="146"/>
    </row>
  </sheetData>
  <sheetProtection formatCells="0" formatColumns="0" formatRows="0" insertRows="0" insertColumns="0" insertHyperlinks="0" deleteColumns="0" deleteRows="0" sort="0" autoFilter="0" pivotTables="0"/>
  <autoFilter xmlns:etc="http://www.wps.cn/officeDocument/2017/etCustomData" ref="A2:H18" etc:filterBottomFollowUsedRange="1">
    <extLst/>
  </autoFilter>
  <mergeCells count="6">
    <mergeCell ref="A1:H1"/>
    <mergeCell ref="A8:C8"/>
    <mergeCell ref="E8:F8"/>
    <mergeCell ref="G8:H8"/>
    <mergeCell ref="A9:C9"/>
    <mergeCell ref="A11:H11"/>
  </mergeCells>
  <dataValidations count="1">
    <dataValidation type="list" allowBlank="1" showErrorMessage="1" errorTitle="错误提示" error="请输入下拉列表中的值" sqref="C13:C16">
      <formula1>"福田产投,物业中心"</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workbookViewId="0">
      <selection activeCell="A1" sqref="A1:E1"/>
    </sheetView>
  </sheetViews>
  <sheetFormatPr defaultColWidth="21.25" defaultRowHeight="13.5"/>
  <cols>
    <col min="1" max="16384" width="21.25" customWidth="1"/>
  </cols>
  <sheetData>
    <row r="1" ht="41.25" customHeight="1" spans="1:9">
      <c r="A1" s="1" t="s">
        <v>395</v>
      </c>
      <c r="B1" s="1"/>
      <c r="C1" s="1"/>
      <c r="D1" s="1"/>
      <c r="E1" s="1"/>
      <c r="F1" s="2"/>
      <c r="G1" s="2"/>
      <c r="H1" s="2"/>
      <c r="I1" s="2"/>
    </row>
    <row r="2" ht="33.75" customHeight="1" spans="1:9">
      <c r="A2" s="3" t="s">
        <v>396</v>
      </c>
      <c r="B2" s="4">
        <v>390788.34</v>
      </c>
      <c r="C2" s="4"/>
      <c r="D2" s="4"/>
      <c r="E2" s="4"/>
      <c r="F2" s="2"/>
      <c r="G2" s="2"/>
      <c r="H2" s="2"/>
      <c r="I2" s="2"/>
    </row>
    <row r="3" ht="33.75" customHeight="1" spans="1:9">
      <c r="A3" s="3" t="s">
        <v>397</v>
      </c>
      <c r="B3" s="3" t="s">
        <v>398</v>
      </c>
      <c r="C3" s="3"/>
      <c r="D3" s="3"/>
      <c r="E3" s="3"/>
      <c r="F3" s="5"/>
      <c r="G3" s="5"/>
      <c r="H3" s="5"/>
      <c r="I3" s="5"/>
    </row>
    <row r="4" ht="33.75" customHeight="1" spans="1:9">
      <c r="A4" s="3"/>
      <c r="B4" s="3"/>
      <c r="C4" s="3"/>
      <c r="D4" s="3"/>
      <c r="E4" s="3"/>
      <c r="F4" s="5"/>
      <c r="G4" s="5"/>
      <c r="H4" s="5"/>
      <c r="I4" s="5"/>
    </row>
    <row r="5" ht="33.75" customHeight="1" spans="1:9">
      <c r="A5" s="3" t="s">
        <v>399</v>
      </c>
      <c r="B5" s="3">
        <v>94006.29</v>
      </c>
      <c r="C5" s="3"/>
      <c r="D5" s="3"/>
      <c r="E5" s="3"/>
      <c r="F5" s="5"/>
      <c r="G5" s="5"/>
      <c r="H5" s="5"/>
      <c r="I5" s="5"/>
    </row>
    <row r="6" ht="33.75" customHeight="1" spans="1:9">
      <c r="A6" s="3"/>
      <c r="B6" s="3"/>
      <c r="C6" s="3"/>
      <c r="D6" s="3"/>
      <c r="E6" s="3"/>
      <c r="F6" s="5"/>
      <c r="G6" s="5"/>
      <c r="H6" s="5"/>
      <c r="I6" s="5"/>
    </row>
    <row r="7" ht="33.75" customHeight="1" spans="1:9">
      <c r="A7" s="3" t="s">
        <v>400</v>
      </c>
      <c r="B7" s="6" t="s">
        <v>401</v>
      </c>
      <c r="C7" s="3" t="s">
        <v>59</v>
      </c>
      <c r="D7" s="3" t="s">
        <v>402</v>
      </c>
      <c r="E7" s="3">
        <v>31663.55</v>
      </c>
      <c r="F7" s="5"/>
      <c r="G7" s="5"/>
      <c r="H7" s="5"/>
      <c r="I7" s="5"/>
    </row>
    <row r="8" ht="33.75" customHeight="1" spans="1:9">
      <c r="A8" s="3"/>
      <c r="B8" s="6"/>
      <c r="C8" s="3"/>
      <c r="D8" s="3" t="s">
        <v>403</v>
      </c>
      <c r="E8" s="3">
        <v>91512.85</v>
      </c>
      <c r="F8" s="5"/>
      <c r="G8" s="5"/>
      <c r="H8" s="5"/>
      <c r="I8" s="5"/>
    </row>
    <row r="9" ht="33.75" customHeight="1" spans="1:9">
      <c r="A9" s="3"/>
      <c r="B9" s="6"/>
      <c r="C9" s="3"/>
      <c r="D9" s="3" t="s">
        <v>356</v>
      </c>
      <c r="E9" s="3">
        <v>123176.4</v>
      </c>
      <c r="F9" s="5"/>
      <c r="G9" s="5"/>
      <c r="H9" s="5"/>
      <c r="I9" s="5"/>
    </row>
    <row r="10" ht="33.75" customHeight="1" spans="1:9">
      <c r="A10" s="3"/>
      <c r="B10" s="6"/>
      <c r="C10" s="3" t="s">
        <v>31</v>
      </c>
      <c r="D10" s="3"/>
      <c r="E10" s="3">
        <v>133131.34</v>
      </c>
      <c r="F10" s="5">
        <v>132925.43</v>
      </c>
      <c r="G10" s="5" t="s">
        <v>404</v>
      </c>
      <c r="H10" s="5"/>
      <c r="I10" s="5"/>
    </row>
    <row r="11" ht="33.75" customHeight="1" spans="1:9">
      <c r="A11" s="3" t="s">
        <v>405</v>
      </c>
      <c r="B11" s="3">
        <v>28590.5</v>
      </c>
      <c r="C11" s="3" t="s">
        <v>59</v>
      </c>
      <c r="D11" s="3"/>
      <c r="E11" s="3">
        <v>7065.95</v>
      </c>
      <c r="F11" s="5"/>
      <c r="G11" s="5"/>
      <c r="H11" s="5"/>
      <c r="I11" s="5"/>
    </row>
    <row r="12" ht="33.75" customHeight="1" spans="1:9">
      <c r="A12" s="3"/>
      <c r="B12" s="3"/>
      <c r="C12" s="3" t="s">
        <v>31</v>
      </c>
      <c r="D12" s="3"/>
      <c r="E12" s="3">
        <v>21524.55</v>
      </c>
      <c r="F12" s="5"/>
      <c r="G12" s="5"/>
      <c r="H12" s="5"/>
      <c r="I12" s="5"/>
    </row>
    <row r="13" ht="45" customHeight="1" spans="1:9">
      <c r="A13" s="141" t="s">
        <v>406</v>
      </c>
      <c r="B13" s="141"/>
      <c r="C13" s="141"/>
      <c r="D13" s="141"/>
      <c r="E13" s="141"/>
      <c r="F13" s="5"/>
      <c r="G13" s="5"/>
      <c r="H13" s="5"/>
      <c r="I13" s="5"/>
    </row>
    <row r="14" ht="33.75" customHeight="1" spans="1:9">
      <c r="A14" s="8" t="s">
        <v>407</v>
      </c>
      <c r="B14" s="8"/>
      <c r="C14" s="8"/>
      <c r="D14" s="8"/>
      <c r="E14" s="8"/>
      <c r="F14" s="5" t="s">
        <v>408</v>
      </c>
      <c r="G14" s="5"/>
      <c r="H14" s="5"/>
      <c r="I14" s="5"/>
    </row>
  </sheetData>
  <sheetProtection formatCells="0" formatColumns="0" formatRows="0" insertRows="0" insertColumns="0" insertHyperlinks="0" deleteColumns="0" deleteRows="0" sort="0" autoFilter="0" pivotTables="0"/>
  <mergeCells count="16">
    <mergeCell ref="A1:E1"/>
    <mergeCell ref="B2:E2"/>
    <mergeCell ref="C10:D10"/>
    <mergeCell ref="C11:D11"/>
    <mergeCell ref="C12:D12"/>
    <mergeCell ref="A13:E13"/>
    <mergeCell ref="A14:E14"/>
    <mergeCell ref="A3:A4"/>
    <mergeCell ref="A5:A6"/>
    <mergeCell ref="A7:A10"/>
    <mergeCell ref="A11:A12"/>
    <mergeCell ref="B7:B10"/>
    <mergeCell ref="B11:B12"/>
    <mergeCell ref="C7:C9"/>
    <mergeCell ref="B3:E4"/>
    <mergeCell ref="B5:E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74"/>
  <sheetViews>
    <sheetView topLeftCell="V9" workbookViewId="0">
      <selection activeCell="V9" sqref="V9:V16"/>
    </sheetView>
  </sheetViews>
  <sheetFormatPr defaultColWidth="9" defaultRowHeight="16.5"/>
  <cols>
    <col min="1" max="1" width="4.53333333333333" style="41" customWidth="1"/>
    <col min="2" max="2" width="6.56666666666667" style="41" customWidth="1"/>
    <col min="3" max="3" width="12.75" style="41"/>
    <col min="4" max="4" width="31.0916666666667" style="42" customWidth="1"/>
    <col min="5" max="5" width="12.25" style="42" customWidth="1"/>
    <col min="6" max="6" width="12.75" style="43"/>
    <col min="7" max="7" width="12.75" style="41"/>
    <col min="8" max="8" width="8.375" style="41" customWidth="1"/>
    <col min="9" max="9" width="8.875" style="41" customWidth="1"/>
    <col min="10" max="10" width="12.75" style="41"/>
    <col min="11" max="11" width="11.125" style="41" customWidth="1"/>
    <col min="12" max="13" width="10" style="41" customWidth="1"/>
    <col min="14" max="14" width="11.375" style="41" customWidth="1"/>
    <col min="15" max="16" width="15" style="41" customWidth="1"/>
    <col min="17" max="19" width="15.3166666666667" style="41" customWidth="1"/>
    <col min="20" max="25" width="12.75" style="41"/>
    <col min="26" max="26" width="21.4083333333333" style="42" customWidth="1"/>
    <col min="27" max="27" width="12.75" style="41"/>
    <col min="28" max="16384" width="12.75" style="37"/>
  </cols>
  <sheetData>
    <row r="1" customFormat="1" ht="38.25" customHeight="1" spans="1:27">
      <c r="A1" s="44" t="s">
        <v>409</v>
      </c>
      <c r="B1" s="44"/>
      <c r="C1" s="44"/>
      <c r="D1" s="44"/>
      <c r="E1" s="44"/>
      <c r="F1" s="45"/>
      <c r="G1" s="44"/>
      <c r="H1" s="44"/>
      <c r="I1" s="44"/>
      <c r="J1" s="44"/>
      <c r="K1" s="44"/>
      <c r="L1" s="44"/>
      <c r="M1" s="44"/>
      <c r="N1" s="44"/>
      <c r="O1" s="44"/>
      <c r="P1" s="44"/>
      <c r="Q1" s="44"/>
      <c r="R1" s="44"/>
      <c r="S1" s="44"/>
      <c r="T1" s="44"/>
      <c r="U1" s="44"/>
      <c r="V1" s="44"/>
      <c r="W1" s="44"/>
      <c r="X1" s="44"/>
      <c r="Y1" s="44"/>
      <c r="Z1" s="44"/>
      <c r="AA1" s="44"/>
    </row>
    <row r="2" customFormat="1" ht="21" customHeight="1" spans="1:27">
      <c r="A2" s="13" t="s">
        <v>1</v>
      </c>
      <c r="B2" s="13" t="s">
        <v>2</v>
      </c>
      <c r="C2" s="13" t="s">
        <v>3</v>
      </c>
      <c r="D2" s="13" t="s">
        <v>4</v>
      </c>
      <c r="E2" s="46" t="s">
        <v>410</v>
      </c>
      <c r="F2" s="47" t="s">
        <v>5</v>
      </c>
      <c r="G2" s="13" t="s">
        <v>7</v>
      </c>
      <c r="H2" s="48" t="s">
        <v>8</v>
      </c>
      <c r="I2" s="49"/>
      <c r="J2" s="13" t="s">
        <v>411</v>
      </c>
      <c r="K2" s="48" t="s">
        <v>412</v>
      </c>
      <c r="L2" s="49"/>
      <c r="M2" s="50" t="s">
        <v>10</v>
      </c>
      <c r="N2" s="49"/>
      <c r="O2" s="13" t="s">
        <v>413</v>
      </c>
      <c r="P2" s="13" t="s">
        <v>414</v>
      </c>
      <c r="Q2" s="13" t="s">
        <v>415</v>
      </c>
      <c r="R2" s="46" t="s">
        <v>416</v>
      </c>
      <c r="S2" s="46" t="s">
        <v>417</v>
      </c>
      <c r="T2" s="13" t="s">
        <v>15</v>
      </c>
      <c r="U2" s="13" t="s">
        <v>16</v>
      </c>
      <c r="V2" s="13" t="s">
        <v>17</v>
      </c>
      <c r="W2" s="13" t="s">
        <v>18</v>
      </c>
      <c r="X2" s="13" t="s">
        <v>19</v>
      </c>
      <c r="Y2" s="13" t="s">
        <v>20</v>
      </c>
      <c r="Z2" s="13" t="s">
        <v>21</v>
      </c>
      <c r="AA2" s="13" t="s">
        <v>23</v>
      </c>
    </row>
    <row r="3" customFormat="1" ht="21" customHeight="1" spans="1:27">
      <c r="A3" s="13"/>
      <c r="B3" s="13"/>
      <c r="C3" s="13"/>
      <c r="D3" s="13"/>
      <c r="E3" s="51"/>
      <c r="F3" s="47"/>
      <c r="G3" s="13"/>
      <c r="H3" s="52"/>
      <c r="I3" s="53"/>
      <c r="J3" s="13"/>
      <c r="K3" s="52"/>
      <c r="L3" s="53"/>
      <c r="M3" s="54"/>
      <c r="N3" s="53"/>
      <c r="O3" s="13"/>
      <c r="P3" s="13"/>
      <c r="Q3" s="13"/>
      <c r="R3" s="51"/>
      <c r="S3" s="51"/>
      <c r="T3" s="13"/>
      <c r="U3" s="13"/>
      <c r="V3" s="13"/>
      <c r="W3" s="13"/>
      <c r="X3" s="13"/>
      <c r="Y3" s="13"/>
      <c r="Z3" s="13"/>
      <c r="AA3" s="13"/>
    </row>
    <row r="4" s="37" customFormat="1" ht="21" customHeight="1" spans="1:27">
      <c r="A4" s="13"/>
      <c r="B4" s="46" t="s">
        <v>418</v>
      </c>
      <c r="C4" s="55">
        <v>202</v>
      </c>
      <c r="D4" s="55" t="s">
        <v>91</v>
      </c>
      <c r="E4" s="55" t="s">
        <v>419</v>
      </c>
      <c r="F4" s="56">
        <v>218.36</v>
      </c>
      <c r="G4" s="55"/>
      <c r="H4" s="57"/>
      <c r="I4" s="58"/>
      <c r="J4" s="55"/>
      <c r="K4" s="59"/>
      <c r="L4" s="60"/>
      <c r="M4" s="61"/>
      <c r="N4" s="60"/>
      <c r="O4" s="55"/>
      <c r="P4" s="55"/>
      <c r="Q4" s="55"/>
      <c r="R4" s="55"/>
      <c r="S4" s="55"/>
      <c r="T4" s="55"/>
      <c r="U4" s="55"/>
      <c r="V4" s="55"/>
      <c r="W4" s="55"/>
      <c r="X4" s="55"/>
      <c r="Y4" s="55"/>
      <c r="Z4" s="55"/>
      <c r="AA4" s="55" t="s">
        <v>91</v>
      </c>
    </row>
    <row r="5" s="37" customFormat="1" ht="21" customHeight="1" spans="1:27">
      <c r="A5" s="13"/>
      <c r="B5" s="62"/>
      <c r="C5" s="63" t="s">
        <v>420</v>
      </c>
      <c r="D5" s="55" t="s">
        <v>91</v>
      </c>
      <c r="E5" s="55" t="s">
        <v>419</v>
      </c>
      <c r="F5" s="63">
        <v>1778.05</v>
      </c>
      <c r="G5" s="64"/>
      <c r="H5" s="57"/>
      <c r="I5" s="58"/>
      <c r="J5" s="64"/>
      <c r="K5" s="59"/>
      <c r="L5" s="60"/>
      <c r="M5" s="65"/>
      <c r="N5" s="66"/>
      <c r="O5" s="62"/>
      <c r="P5" s="62"/>
      <c r="Q5" s="67"/>
      <c r="R5" s="67"/>
      <c r="S5" s="67"/>
      <c r="T5" s="62"/>
      <c r="U5" s="62"/>
      <c r="V5" s="62"/>
      <c r="W5" s="62"/>
      <c r="X5" s="68"/>
      <c r="Y5" s="62"/>
      <c r="Z5" s="62"/>
      <c r="AA5" s="62"/>
    </row>
    <row r="6" s="37" customFormat="1" ht="21" customHeight="1" spans="1:27">
      <c r="A6" s="13"/>
      <c r="B6" s="62"/>
      <c r="C6" s="63" t="s">
        <v>421</v>
      </c>
      <c r="D6" s="55" t="s">
        <v>91</v>
      </c>
      <c r="E6" s="55" t="s">
        <v>419</v>
      </c>
      <c r="F6" s="63">
        <v>1840.69</v>
      </c>
      <c r="G6" s="64"/>
      <c r="H6" s="57"/>
      <c r="I6" s="58"/>
      <c r="J6" s="64"/>
      <c r="K6" s="59"/>
      <c r="L6" s="60"/>
      <c r="M6" s="59"/>
      <c r="N6" s="60"/>
      <c r="O6" s="62"/>
      <c r="P6" s="62"/>
      <c r="Q6" s="67"/>
      <c r="R6" s="67"/>
      <c r="S6" s="67"/>
      <c r="T6" s="62"/>
      <c r="U6" s="62"/>
      <c r="V6" s="62"/>
      <c r="W6" s="62"/>
      <c r="X6" s="68"/>
      <c r="Y6" s="62"/>
      <c r="Z6" s="62"/>
      <c r="AA6" s="62"/>
    </row>
    <row r="7" s="38" customFormat="1" ht="21" customHeight="1" spans="1:27">
      <c r="A7" s="69"/>
      <c r="B7" s="70"/>
      <c r="C7" s="71" t="s">
        <v>422</v>
      </c>
      <c r="D7" s="69" t="s">
        <v>423</v>
      </c>
      <c r="E7" s="69" t="s">
        <v>419</v>
      </c>
      <c r="F7" s="71">
        <v>1840.69</v>
      </c>
      <c r="G7" s="72">
        <v>139</v>
      </c>
      <c r="H7" s="73">
        <v>0.5</v>
      </c>
      <c r="I7" s="74"/>
      <c r="J7" s="72">
        <v>139</v>
      </c>
      <c r="K7" s="75">
        <f>ROUND(G7*H7,2)</f>
        <v>69.5</v>
      </c>
      <c r="L7" s="76"/>
      <c r="M7" s="75">
        <f>ROUND(K7*F7,2)</f>
        <v>127927.96</v>
      </c>
      <c r="N7" s="76"/>
      <c r="O7" s="69">
        <f>ROUND(J7*F7,2)</f>
        <v>255855.91</v>
      </c>
      <c r="P7" s="69">
        <v>511544.91</v>
      </c>
      <c r="Q7" s="69">
        <v>511544.91</v>
      </c>
      <c r="R7" s="77" t="s">
        <v>33</v>
      </c>
      <c r="S7" s="77" t="s">
        <v>33</v>
      </c>
      <c r="T7" s="77"/>
      <c r="U7" s="77"/>
      <c r="V7" s="78">
        <v>3</v>
      </c>
      <c r="W7" s="77" t="s">
        <v>37</v>
      </c>
      <c r="X7" s="77" t="s">
        <v>37</v>
      </c>
      <c r="Y7" s="77" t="s">
        <v>424</v>
      </c>
      <c r="Z7" s="77" t="s">
        <v>425</v>
      </c>
      <c r="AA7" s="77"/>
    </row>
    <row r="8" s="38" customFormat="1" ht="21.75" customHeight="1" spans="1:27">
      <c r="A8" s="79"/>
      <c r="B8" s="70"/>
      <c r="C8" s="71" t="s">
        <v>426</v>
      </c>
      <c r="D8" s="69" t="s">
        <v>423</v>
      </c>
      <c r="E8" s="69" t="s">
        <v>419</v>
      </c>
      <c r="F8" s="71">
        <v>1826.35</v>
      </c>
      <c r="G8" s="72">
        <v>140</v>
      </c>
      <c r="H8" s="73">
        <v>0.5</v>
      </c>
      <c r="I8" s="74"/>
      <c r="J8" s="72">
        <v>140</v>
      </c>
      <c r="K8" s="75">
        <f>ROUND(G8*H8,2)</f>
        <v>70</v>
      </c>
      <c r="L8" s="76"/>
      <c r="M8" s="75">
        <f>ROUND(K8*F8,2)</f>
        <v>127844.5</v>
      </c>
      <c r="N8" s="76"/>
      <c r="O8" s="69">
        <f>ROUND(J8*F8,2)</f>
        <v>255689</v>
      </c>
      <c r="P8" s="69"/>
      <c r="Q8" s="69"/>
      <c r="R8" s="80"/>
      <c r="S8" s="80"/>
      <c r="T8" s="80"/>
      <c r="U8" s="80"/>
      <c r="V8" s="81"/>
      <c r="W8" s="80"/>
      <c r="X8" s="80"/>
      <c r="Y8" s="80"/>
      <c r="Z8" s="80"/>
      <c r="AA8" s="80"/>
    </row>
    <row r="9" s="39" customFormat="1" ht="38.25" customHeight="1" spans="1:27">
      <c r="A9" s="82"/>
      <c r="B9" s="83"/>
      <c r="C9" s="84" t="s">
        <v>427</v>
      </c>
      <c r="D9" s="85" t="s">
        <v>428</v>
      </c>
      <c r="E9" s="86" t="s">
        <v>419</v>
      </c>
      <c r="F9" s="84" t="s">
        <v>429</v>
      </c>
      <c r="G9" s="86">
        <v>134</v>
      </c>
      <c r="H9" s="87">
        <v>0.3</v>
      </c>
      <c r="I9" s="88"/>
      <c r="J9" s="86">
        <v>134</v>
      </c>
      <c r="K9" s="89">
        <f t="shared" ref="K5:K16" si="0">ROUND(J9*H9,2)</f>
        <v>40.2</v>
      </c>
      <c r="L9" s="90"/>
      <c r="M9" s="91">
        <f>ROUND(K9*1141.79,2)</f>
        <v>45899.96</v>
      </c>
      <c r="N9" s="92"/>
      <c r="O9" s="85">
        <f>ROUND(J9*1141.79,2)</f>
        <v>152999.86</v>
      </c>
      <c r="P9" s="85">
        <f>SUM(O9:O16)</f>
        <v>1842844.25</v>
      </c>
      <c r="Q9" s="93">
        <v>1842844.25</v>
      </c>
      <c r="R9" s="93">
        <v>1842844.25</v>
      </c>
      <c r="S9" s="93">
        <v>1842844.25</v>
      </c>
      <c r="T9" s="93" t="s">
        <v>430</v>
      </c>
      <c r="U9" s="93" t="s">
        <v>431</v>
      </c>
      <c r="V9" s="94">
        <v>5</v>
      </c>
      <c r="W9" s="93" t="s">
        <v>36</v>
      </c>
      <c r="X9" s="93" t="s">
        <v>37</v>
      </c>
      <c r="Y9" s="93" t="s">
        <v>38</v>
      </c>
      <c r="Z9" s="85" t="s">
        <v>432</v>
      </c>
      <c r="AA9" s="95" t="s">
        <v>433</v>
      </c>
    </row>
    <row r="10" s="39" customFormat="1" ht="33" customHeight="1" spans="1:27">
      <c r="A10" s="82"/>
      <c r="B10" s="83"/>
      <c r="C10" s="85" t="s">
        <v>434</v>
      </c>
      <c r="D10" s="85" t="s">
        <v>428</v>
      </c>
      <c r="E10" s="96" t="s">
        <v>435</v>
      </c>
      <c r="F10" s="84">
        <v>629.68</v>
      </c>
      <c r="G10" s="86">
        <v>134</v>
      </c>
      <c r="H10" s="87">
        <v>0.3</v>
      </c>
      <c r="I10" s="88"/>
      <c r="J10" s="86">
        <v>134</v>
      </c>
      <c r="K10" s="89">
        <f t="shared" si="0"/>
        <v>40.2</v>
      </c>
      <c r="L10" s="90"/>
      <c r="M10" s="91">
        <f t="shared" ref="M10:M20" si="1">ROUND(K10*F10,2)</f>
        <v>25313.14</v>
      </c>
      <c r="N10" s="92"/>
      <c r="O10" s="85">
        <f>ROUND(J10*F10,2)</f>
        <v>84377.12</v>
      </c>
      <c r="P10" s="85"/>
      <c r="Q10" s="93"/>
      <c r="R10" s="93"/>
      <c r="S10" s="93"/>
      <c r="T10" s="93"/>
      <c r="U10" s="93"/>
      <c r="V10" s="97"/>
      <c r="W10" s="93"/>
      <c r="X10" s="93"/>
      <c r="Y10" s="93" t="s">
        <v>58</v>
      </c>
      <c r="Z10" s="85"/>
      <c r="AA10" s="83"/>
    </row>
    <row r="11" s="39" customFormat="1" spans="1:27">
      <c r="A11" s="82"/>
      <c r="B11" s="83"/>
      <c r="C11" s="84" t="s">
        <v>436</v>
      </c>
      <c r="D11" s="85" t="s">
        <v>428</v>
      </c>
      <c r="E11" s="86" t="s">
        <v>419</v>
      </c>
      <c r="F11" s="84">
        <v>1742.63</v>
      </c>
      <c r="G11" s="86">
        <v>146</v>
      </c>
      <c r="H11" s="87">
        <v>0.3</v>
      </c>
      <c r="I11" s="88"/>
      <c r="J11" s="86">
        <v>146</v>
      </c>
      <c r="K11" s="89">
        <f t="shared" si="0"/>
        <v>43.8</v>
      </c>
      <c r="L11" s="90"/>
      <c r="M11" s="91">
        <f t="shared" si="1"/>
        <v>76327.19</v>
      </c>
      <c r="N11" s="92"/>
      <c r="O11" s="85">
        <f t="shared" ref="O11:O16" si="2">ROUND(J11*F11,2)</f>
        <v>254423.98</v>
      </c>
      <c r="P11" s="85"/>
      <c r="Q11" s="93"/>
      <c r="R11" s="93"/>
      <c r="S11" s="93"/>
      <c r="T11" s="93"/>
      <c r="U11" s="93"/>
      <c r="V11" s="97"/>
      <c r="W11" s="93"/>
      <c r="X11" s="93"/>
      <c r="Y11" s="93"/>
      <c r="Z11" s="85"/>
      <c r="AA11" s="83"/>
    </row>
    <row r="12" s="39" customFormat="1" spans="1:27">
      <c r="A12" s="82"/>
      <c r="B12" s="83"/>
      <c r="C12" s="84" t="s">
        <v>437</v>
      </c>
      <c r="D12" s="85" t="s">
        <v>428</v>
      </c>
      <c r="E12" s="86" t="s">
        <v>419</v>
      </c>
      <c r="F12" s="84">
        <v>1742.63</v>
      </c>
      <c r="G12" s="86">
        <v>147</v>
      </c>
      <c r="H12" s="87">
        <v>0.3</v>
      </c>
      <c r="I12" s="88"/>
      <c r="J12" s="86">
        <v>147</v>
      </c>
      <c r="K12" s="89">
        <f t="shared" si="0"/>
        <v>44.1</v>
      </c>
      <c r="L12" s="90"/>
      <c r="M12" s="91">
        <f t="shared" si="1"/>
        <v>76849.98</v>
      </c>
      <c r="N12" s="92"/>
      <c r="O12" s="85">
        <f t="shared" si="2"/>
        <v>256166.61</v>
      </c>
      <c r="P12" s="85"/>
      <c r="Q12" s="93"/>
      <c r="R12" s="93"/>
      <c r="S12" s="93"/>
      <c r="T12" s="93"/>
      <c r="U12" s="93"/>
      <c r="V12" s="97"/>
      <c r="W12" s="93"/>
      <c r="X12" s="93"/>
      <c r="Y12" s="93"/>
      <c r="Z12" s="85"/>
      <c r="AA12" s="83"/>
    </row>
    <row r="13" s="39" customFormat="1" spans="1:27">
      <c r="A13" s="82"/>
      <c r="B13" s="83"/>
      <c r="C13" s="84" t="s">
        <v>438</v>
      </c>
      <c r="D13" s="85" t="s">
        <v>428</v>
      </c>
      <c r="E13" s="86" t="s">
        <v>419</v>
      </c>
      <c r="F13" s="84">
        <v>1830.5</v>
      </c>
      <c r="G13" s="86">
        <v>148</v>
      </c>
      <c r="H13" s="87">
        <v>0.3</v>
      </c>
      <c r="I13" s="88"/>
      <c r="J13" s="86">
        <v>148</v>
      </c>
      <c r="K13" s="89">
        <f t="shared" si="0"/>
        <v>44.4</v>
      </c>
      <c r="L13" s="90"/>
      <c r="M13" s="91">
        <f t="shared" si="1"/>
        <v>81274.2</v>
      </c>
      <c r="N13" s="92"/>
      <c r="O13" s="85">
        <f t="shared" si="2"/>
        <v>270914</v>
      </c>
      <c r="P13" s="85"/>
      <c r="Q13" s="93"/>
      <c r="R13" s="93"/>
      <c r="S13" s="93"/>
      <c r="T13" s="93"/>
      <c r="U13" s="93"/>
      <c r="V13" s="97"/>
      <c r="W13" s="93"/>
      <c r="X13" s="93"/>
      <c r="Y13" s="93"/>
      <c r="Z13" s="85"/>
      <c r="AA13" s="83"/>
    </row>
    <row r="14" s="39" customFormat="1" spans="1:27">
      <c r="A14" s="82"/>
      <c r="B14" s="83"/>
      <c r="C14" s="84" t="s">
        <v>439</v>
      </c>
      <c r="D14" s="85" t="s">
        <v>428</v>
      </c>
      <c r="E14" s="86" t="s">
        <v>419</v>
      </c>
      <c r="F14" s="84">
        <v>1831.31</v>
      </c>
      <c r="G14" s="86">
        <v>149</v>
      </c>
      <c r="H14" s="87">
        <v>0.3</v>
      </c>
      <c r="I14" s="88"/>
      <c r="J14" s="86">
        <v>149</v>
      </c>
      <c r="K14" s="89">
        <f t="shared" si="0"/>
        <v>44.7</v>
      </c>
      <c r="L14" s="90"/>
      <c r="M14" s="91">
        <f t="shared" si="1"/>
        <v>81859.56</v>
      </c>
      <c r="N14" s="92"/>
      <c r="O14" s="85">
        <f t="shared" si="2"/>
        <v>272865.19</v>
      </c>
      <c r="P14" s="85"/>
      <c r="Q14" s="93"/>
      <c r="R14" s="93"/>
      <c r="S14" s="93"/>
      <c r="T14" s="93"/>
      <c r="U14" s="93"/>
      <c r="V14" s="97"/>
      <c r="W14" s="93"/>
      <c r="X14" s="93"/>
      <c r="Y14" s="93"/>
      <c r="Z14" s="85"/>
      <c r="AA14" s="83"/>
    </row>
    <row r="15" s="39" customFormat="1" spans="1:27">
      <c r="A15" s="82"/>
      <c r="B15" s="83"/>
      <c r="C15" s="84" t="s">
        <v>440</v>
      </c>
      <c r="D15" s="85" t="s">
        <v>428</v>
      </c>
      <c r="E15" s="86" t="s">
        <v>419</v>
      </c>
      <c r="F15" s="84">
        <v>1831.29</v>
      </c>
      <c r="G15" s="86">
        <v>150</v>
      </c>
      <c r="H15" s="87">
        <v>0.3</v>
      </c>
      <c r="I15" s="88"/>
      <c r="J15" s="86">
        <v>150</v>
      </c>
      <c r="K15" s="89">
        <f t="shared" si="0"/>
        <v>45</v>
      </c>
      <c r="L15" s="90"/>
      <c r="M15" s="91">
        <f t="shared" si="1"/>
        <v>82408.05</v>
      </c>
      <c r="N15" s="92"/>
      <c r="O15" s="85">
        <f t="shared" si="2"/>
        <v>274693.5</v>
      </c>
      <c r="P15" s="85"/>
      <c r="Q15" s="93"/>
      <c r="R15" s="93"/>
      <c r="S15" s="93"/>
      <c r="T15" s="93"/>
      <c r="U15" s="93"/>
      <c r="V15" s="97"/>
      <c r="W15" s="93"/>
      <c r="X15" s="93"/>
      <c r="Y15" s="93"/>
      <c r="Z15" s="85"/>
      <c r="AA15" s="83"/>
    </row>
    <row r="16" s="39" customFormat="1" spans="1:27">
      <c r="A16" s="82"/>
      <c r="B16" s="83"/>
      <c r="C16" s="84" t="s">
        <v>441</v>
      </c>
      <c r="D16" s="85" t="s">
        <v>428</v>
      </c>
      <c r="E16" s="85" t="s">
        <v>419</v>
      </c>
      <c r="F16" s="84">
        <v>1830.49</v>
      </c>
      <c r="G16" s="86">
        <v>151</v>
      </c>
      <c r="H16" s="87">
        <v>0.3</v>
      </c>
      <c r="I16" s="88"/>
      <c r="J16" s="86">
        <v>151</v>
      </c>
      <c r="K16" s="89">
        <f t="shared" si="0"/>
        <v>45.3</v>
      </c>
      <c r="L16" s="90"/>
      <c r="M16" s="91">
        <f t="shared" si="1"/>
        <v>82921.2</v>
      </c>
      <c r="N16" s="92"/>
      <c r="O16" s="85">
        <f t="shared" si="2"/>
        <v>276403.99</v>
      </c>
      <c r="P16" s="85"/>
      <c r="Q16" s="93"/>
      <c r="R16" s="93"/>
      <c r="S16" s="93"/>
      <c r="T16" s="93"/>
      <c r="U16" s="93"/>
      <c r="V16" s="98"/>
      <c r="W16" s="93"/>
      <c r="X16" s="93"/>
      <c r="Y16" s="93"/>
      <c r="Z16" s="85"/>
      <c r="AA16" s="99"/>
    </row>
    <row r="17" s="37" customFormat="1" ht="33" spans="1:27">
      <c r="A17" s="100"/>
      <c r="B17" s="62"/>
      <c r="C17" s="101" t="s">
        <v>442</v>
      </c>
      <c r="D17" s="13" t="s">
        <v>443</v>
      </c>
      <c r="E17" s="13" t="s">
        <v>444</v>
      </c>
      <c r="F17" s="101">
        <v>1831.29</v>
      </c>
      <c r="G17" s="100">
        <v>156</v>
      </c>
      <c r="H17" s="102">
        <v>0.5</v>
      </c>
      <c r="I17" s="103"/>
      <c r="J17" s="100">
        <v>156</v>
      </c>
      <c r="K17" s="26">
        <f>ROUND(G17*H17,2)</f>
        <v>78</v>
      </c>
      <c r="L17" s="104"/>
      <c r="M17" s="105">
        <f t="shared" si="1"/>
        <v>142840.62</v>
      </c>
      <c r="N17" s="104"/>
      <c r="O17" s="100">
        <f t="shared" ref="O17:O20" si="3">ROUND(J17*F17,2)</f>
        <v>285681.24</v>
      </c>
      <c r="P17" s="106">
        <f>O17+O18+O19+O20</f>
        <v>1153587.1</v>
      </c>
      <c r="Q17" s="106">
        <f>P17</f>
        <v>1153587.1</v>
      </c>
      <c r="R17" s="106" t="s">
        <v>33</v>
      </c>
      <c r="S17" s="106" t="s">
        <v>33</v>
      </c>
      <c r="T17" s="106" t="s">
        <v>69</v>
      </c>
      <c r="U17" s="106" t="s">
        <v>70</v>
      </c>
      <c r="V17" s="106">
        <v>3</v>
      </c>
      <c r="W17" s="106">
        <v>6</v>
      </c>
      <c r="X17" s="106" t="s">
        <v>37</v>
      </c>
      <c r="Y17" s="106" t="s">
        <v>424</v>
      </c>
      <c r="Z17" s="46" t="s">
        <v>445</v>
      </c>
      <c r="AA17" s="46" t="s">
        <v>446</v>
      </c>
    </row>
    <row r="18" s="37" customFormat="1" spans="1:27">
      <c r="A18" s="100"/>
      <c r="B18" s="62"/>
      <c r="C18" s="101" t="s">
        <v>447</v>
      </c>
      <c r="D18" s="13" t="s">
        <v>443</v>
      </c>
      <c r="E18" s="13" t="s">
        <v>448</v>
      </c>
      <c r="F18" s="101">
        <v>1830.49</v>
      </c>
      <c r="G18" s="100">
        <v>157</v>
      </c>
      <c r="H18" s="102">
        <v>0.5</v>
      </c>
      <c r="I18" s="103"/>
      <c r="J18" s="100">
        <v>157</v>
      </c>
      <c r="K18" s="26">
        <f>ROUND(G18*H18,2)</f>
        <v>78.5</v>
      </c>
      <c r="L18" s="104"/>
      <c r="M18" s="105">
        <f t="shared" si="1"/>
        <v>143693.47</v>
      </c>
      <c r="N18" s="104"/>
      <c r="O18" s="100">
        <f t="shared" si="3"/>
        <v>287386.93</v>
      </c>
      <c r="P18" s="107"/>
      <c r="Q18" s="107"/>
      <c r="R18" s="107"/>
      <c r="S18" s="107"/>
      <c r="T18" s="107"/>
      <c r="U18" s="107"/>
      <c r="V18" s="107"/>
      <c r="W18" s="107"/>
      <c r="X18" s="107"/>
      <c r="Y18" s="107"/>
      <c r="Z18" s="62"/>
      <c r="AA18" s="62"/>
    </row>
    <row r="19" s="37" customFormat="1" spans="1:27">
      <c r="A19" s="100"/>
      <c r="B19" s="62"/>
      <c r="C19" s="101" t="s">
        <v>449</v>
      </c>
      <c r="D19" s="13" t="s">
        <v>443</v>
      </c>
      <c r="E19" s="13" t="s">
        <v>448</v>
      </c>
      <c r="F19" s="101">
        <v>1831.29</v>
      </c>
      <c r="G19" s="100">
        <v>158</v>
      </c>
      <c r="H19" s="102">
        <v>0.5</v>
      </c>
      <c r="I19" s="103"/>
      <c r="J19" s="100">
        <v>158</v>
      </c>
      <c r="K19" s="26">
        <f>ROUND(G19*H19,2)</f>
        <v>79</v>
      </c>
      <c r="L19" s="104"/>
      <c r="M19" s="105">
        <f t="shared" si="1"/>
        <v>144671.91</v>
      </c>
      <c r="N19" s="104"/>
      <c r="O19" s="100">
        <f t="shared" si="3"/>
        <v>289343.82</v>
      </c>
      <c r="P19" s="107"/>
      <c r="Q19" s="107"/>
      <c r="R19" s="107"/>
      <c r="S19" s="107"/>
      <c r="T19" s="107"/>
      <c r="U19" s="107"/>
      <c r="V19" s="107"/>
      <c r="W19" s="107"/>
      <c r="X19" s="107"/>
      <c r="Y19" s="107"/>
      <c r="Z19" s="62"/>
      <c r="AA19" s="62"/>
    </row>
    <row r="20" s="37" customFormat="1" spans="1:27">
      <c r="A20" s="100"/>
      <c r="B20" s="62"/>
      <c r="C20" s="101" t="s">
        <v>450</v>
      </c>
      <c r="D20" s="13" t="s">
        <v>443</v>
      </c>
      <c r="E20" s="13" t="s">
        <v>448</v>
      </c>
      <c r="F20" s="101">
        <v>1831.29</v>
      </c>
      <c r="G20" s="100">
        <v>159</v>
      </c>
      <c r="H20" s="102">
        <v>0.5</v>
      </c>
      <c r="I20" s="103"/>
      <c r="J20" s="100">
        <v>159</v>
      </c>
      <c r="K20" s="26">
        <f>ROUND(G20*H20,2)</f>
        <v>79.5</v>
      </c>
      <c r="L20" s="104"/>
      <c r="M20" s="105">
        <f t="shared" si="1"/>
        <v>145587.56</v>
      </c>
      <c r="N20" s="104"/>
      <c r="O20" s="100">
        <f t="shared" si="3"/>
        <v>291175.11</v>
      </c>
      <c r="P20" s="108"/>
      <c r="Q20" s="108"/>
      <c r="R20" s="108"/>
      <c r="S20" s="108"/>
      <c r="T20" s="108"/>
      <c r="U20" s="108"/>
      <c r="V20" s="108"/>
      <c r="W20" s="108"/>
      <c r="X20" s="108"/>
      <c r="Y20" s="108"/>
      <c r="Z20" s="51"/>
      <c r="AA20" s="51"/>
    </row>
    <row r="21" s="37" customFormat="1" ht="33" spans="1:27">
      <c r="A21" s="100"/>
      <c r="B21" s="62"/>
      <c r="C21" s="101" t="s">
        <v>451</v>
      </c>
      <c r="D21" s="13" t="s">
        <v>452</v>
      </c>
      <c r="E21" s="13" t="s">
        <v>444</v>
      </c>
      <c r="F21" s="101">
        <v>1725.54</v>
      </c>
      <c r="G21" s="100">
        <v>161</v>
      </c>
      <c r="H21" s="102">
        <v>0.5</v>
      </c>
      <c r="I21" s="103"/>
      <c r="J21" s="100">
        <v>161</v>
      </c>
      <c r="K21" s="26">
        <f>ROUND(J21*H21,2)</f>
        <v>80.5</v>
      </c>
      <c r="L21" s="104"/>
      <c r="M21" s="109">
        <v>549037.84</v>
      </c>
      <c r="N21" s="110"/>
      <c r="O21" s="111">
        <v>1098075.67</v>
      </c>
      <c r="P21" s="111">
        <v>1131017.94</v>
      </c>
      <c r="Q21" s="111">
        <v>1164948.48</v>
      </c>
      <c r="R21" s="111" t="s">
        <v>37</v>
      </c>
      <c r="S21" s="111" t="s">
        <v>37</v>
      </c>
      <c r="T21" s="106" t="s">
        <v>453</v>
      </c>
      <c r="U21" s="106" t="s">
        <v>454</v>
      </c>
      <c r="V21" s="106">
        <v>3</v>
      </c>
      <c r="W21" s="106">
        <v>3</v>
      </c>
      <c r="X21" s="112">
        <v>0.03</v>
      </c>
      <c r="Y21" s="106" t="s">
        <v>424</v>
      </c>
      <c r="Z21" s="46" t="s">
        <v>455</v>
      </c>
      <c r="AA21" s="106" t="s">
        <v>446</v>
      </c>
    </row>
    <row r="22" s="37" customFormat="1" spans="1:27">
      <c r="A22" s="100"/>
      <c r="B22" s="62"/>
      <c r="C22" s="101" t="s">
        <v>456</v>
      </c>
      <c r="D22" s="13" t="s">
        <v>452</v>
      </c>
      <c r="E22" s="13" t="s">
        <v>448</v>
      </c>
      <c r="F22" s="101">
        <v>1722.65</v>
      </c>
      <c r="G22" s="100">
        <v>162</v>
      </c>
      <c r="H22" s="102">
        <v>0.5</v>
      </c>
      <c r="I22" s="103"/>
      <c r="J22" s="100">
        <v>162</v>
      </c>
      <c r="K22" s="26">
        <f>ROUND(J22*H22,2)</f>
        <v>81</v>
      </c>
      <c r="L22" s="104"/>
      <c r="M22" s="113"/>
      <c r="N22" s="114"/>
      <c r="O22" s="107"/>
      <c r="P22" s="107"/>
      <c r="Q22" s="107"/>
      <c r="R22" s="107"/>
      <c r="S22" s="107"/>
      <c r="T22" s="107"/>
      <c r="U22" s="107"/>
      <c r="V22" s="107"/>
      <c r="W22" s="107"/>
      <c r="X22" s="107"/>
      <c r="Y22" s="107"/>
      <c r="Z22" s="62"/>
      <c r="AA22" s="107"/>
    </row>
    <row r="23" s="37" customFormat="1" spans="1:27">
      <c r="A23" s="100"/>
      <c r="B23" s="62"/>
      <c r="C23" s="101" t="s">
        <v>457</v>
      </c>
      <c r="D23" s="13" t="s">
        <v>452</v>
      </c>
      <c r="E23" s="13" t="s">
        <v>448</v>
      </c>
      <c r="F23" s="101">
        <v>1722.65</v>
      </c>
      <c r="G23" s="100">
        <v>163</v>
      </c>
      <c r="H23" s="102">
        <v>0.5</v>
      </c>
      <c r="I23" s="103"/>
      <c r="J23" s="100">
        <v>163</v>
      </c>
      <c r="K23" s="26">
        <f>ROUND(J23*H23,2)</f>
        <v>81.5</v>
      </c>
      <c r="L23" s="104"/>
      <c r="M23" s="113"/>
      <c r="N23" s="114"/>
      <c r="O23" s="107"/>
      <c r="P23" s="107"/>
      <c r="Q23" s="107"/>
      <c r="R23" s="107"/>
      <c r="S23" s="107"/>
      <c r="T23" s="107"/>
      <c r="U23" s="107"/>
      <c r="V23" s="107"/>
      <c r="W23" s="107"/>
      <c r="X23" s="107"/>
      <c r="Y23" s="107"/>
      <c r="Z23" s="62"/>
      <c r="AA23" s="107"/>
    </row>
    <row r="24" s="37" customFormat="1" spans="1:27">
      <c r="A24" s="100"/>
      <c r="B24" s="62"/>
      <c r="C24" s="101" t="s">
        <v>458</v>
      </c>
      <c r="D24" s="13" t="s">
        <v>452</v>
      </c>
      <c r="E24" s="13" t="s">
        <v>448</v>
      </c>
      <c r="F24" s="101">
        <v>1587.82</v>
      </c>
      <c r="G24" s="100">
        <v>164</v>
      </c>
      <c r="H24" s="102">
        <v>0.5</v>
      </c>
      <c r="I24" s="103"/>
      <c r="J24" s="100">
        <v>164</v>
      </c>
      <c r="K24" s="26">
        <f>ROUND(J24*H24,2)</f>
        <v>82</v>
      </c>
      <c r="L24" s="104"/>
      <c r="M24" s="113"/>
      <c r="N24" s="114"/>
      <c r="O24" s="108"/>
      <c r="P24" s="108"/>
      <c r="Q24" s="108"/>
      <c r="R24" s="108"/>
      <c r="S24" s="108"/>
      <c r="T24" s="108"/>
      <c r="U24" s="108"/>
      <c r="V24" s="108"/>
      <c r="W24" s="108"/>
      <c r="X24" s="108"/>
      <c r="Y24" s="108"/>
      <c r="Z24" s="51"/>
      <c r="AA24" s="108"/>
    </row>
    <row r="25" s="37" customFormat="1" ht="33" spans="1:27">
      <c r="A25" s="100"/>
      <c r="B25" s="62"/>
      <c r="C25" s="101" t="s">
        <v>459</v>
      </c>
      <c r="D25" s="13" t="s">
        <v>460</v>
      </c>
      <c r="E25" s="13" t="s">
        <v>444</v>
      </c>
      <c r="F25" s="101">
        <v>1585.48</v>
      </c>
      <c r="G25" s="100">
        <v>167</v>
      </c>
      <c r="H25" s="102" t="s">
        <v>33</v>
      </c>
      <c r="I25" s="103"/>
      <c r="J25" s="100">
        <v>167</v>
      </c>
      <c r="K25" s="26">
        <f>ROUND(J25*0.5,2)</f>
        <v>83.5</v>
      </c>
      <c r="L25" s="104"/>
      <c r="M25" s="105">
        <f>ROUND(K25*F25,2)</f>
        <v>132387.58</v>
      </c>
      <c r="N25" s="104"/>
      <c r="O25" s="108">
        <f>ROUND(J25*F25,2)</f>
        <v>264775.16</v>
      </c>
      <c r="P25" s="108">
        <f>ROUND(O25*1.03,2)</f>
        <v>272718.41</v>
      </c>
      <c r="Q25" s="108">
        <f>ROUND(P25*1.03,2)</f>
        <v>280899.96</v>
      </c>
      <c r="R25" s="108" t="s">
        <v>37</v>
      </c>
      <c r="S25" s="108" t="s">
        <v>37</v>
      </c>
      <c r="T25" s="108" t="s">
        <v>93</v>
      </c>
      <c r="U25" s="108" t="s">
        <v>461</v>
      </c>
      <c r="V25" s="108">
        <v>3</v>
      </c>
      <c r="W25" s="108">
        <v>3</v>
      </c>
      <c r="X25" s="115">
        <v>0.03</v>
      </c>
      <c r="Y25" s="108" t="s">
        <v>184</v>
      </c>
      <c r="Z25" s="51" t="s">
        <v>462</v>
      </c>
      <c r="AA25" s="13" t="s">
        <v>446</v>
      </c>
    </row>
    <row r="26" s="37" customFormat="1" ht="33" spans="1:27">
      <c r="A26" s="100"/>
      <c r="B26" s="62"/>
      <c r="C26" s="101" t="s">
        <v>463</v>
      </c>
      <c r="D26" s="13" t="s">
        <v>464</v>
      </c>
      <c r="E26" s="13" t="s">
        <v>444</v>
      </c>
      <c r="F26" s="101">
        <v>1585.49</v>
      </c>
      <c r="G26" s="100">
        <v>165</v>
      </c>
      <c r="H26" s="102">
        <v>0.5</v>
      </c>
      <c r="I26" s="103"/>
      <c r="J26" s="100">
        <v>165</v>
      </c>
      <c r="K26" s="26">
        <f>ROUND(J26*H26,2)</f>
        <v>82.5</v>
      </c>
      <c r="L26" s="104"/>
      <c r="M26" s="109">
        <v>380934.36</v>
      </c>
      <c r="N26" s="110"/>
      <c r="O26" s="106">
        <v>761868.73</v>
      </c>
      <c r="P26" s="106">
        <v>784724.79</v>
      </c>
      <c r="Q26" s="116">
        <v>808266.53</v>
      </c>
      <c r="R26" s="100" t="s">
        <v>37</v>
      </c>
      <c r="S26" s="100" t="s">
        <v>37</v>
      </c>
      <c r="T26" s="106" t="s">
        <v>465</v>
      </c>
      <c r="U26" s="106" t="s">
        <v>466</v>
      </c>
      <c r="V26" s="106">
        <v>3</v>
      </c>
      <c r="W26" s="106">
        <v>3</v>
      </c>
      <c r="X26" s="112">
        <v>0.03</v>
      </c>
      <c r="Y26" s="106" t="s">
        <v>424</v>
      </c>
      <c r="Z26" s="46" t="s">
        <v>467</v>
      </c>
      <c r="AA26" s="106" t="s">
        <v>446</v>
      </c>
    </row>
    <row r="27" customFormat="1" spans="1:27">
      <c r="A27" s="100"/>
      <c r="B27" s="62"/>
      <c r="C27" s="101" t="s">
        <v>468</v>
      </c>
      <c r="D27" s="13" t="s">
        <v>464</v>
      </c>
      <c r="E27" s="13" t="s">
        <v>448</v>
      </c>
      <c r="F27" s="101">
        <v>1585.48</v>
      </c>
      <c r="G27" s="100">
        <v>166</v>
      </c>
      <c r="H27" s="102">
        <v>0.5</v>
      </c>
      <c r="I27" s="103"/>
      <c r="J27" s="100">
        <v>166</v>
      </c>
      <c r="K27" s="26">
        <f>ROUND(J27*H27,2)</f>
        <v>83</v>
      </c>
      <c r="L27" s="104"/>
      <c r="M27" s="113"/>
      <c r="N27" s="114"/>
      <c r="O27" s="107"/>
      <c r="P27" s="107"/>
      <c r="Q27" s="117"/>
      <c r="R27" s="100"/>
      <c r="S27" s="100"/>
      <c r="T27" s="107"/>
      <c r="U27" s="107"/>
      <c r="V27" s="107"/>
      <c r="W27" s="107"/>
      <c r="X27" s="107"/>
      <c r="Y27" s="107"/>
      <c r="Z27" s="62"/>
      <c r="AA27" s="107"/>
    </row>
    <row r="28" customFormat="1" spans="1:27">
      <c r="A28" s="100"/>
      <c r="B28" s="51"/>
      <c r="C28" s="101" t="s">
        <v>469</v>
      </c>
      <c r="D28" s="13" t="s">
        <v>464</v>
      </c>
      <c r="E28" s="13" t="s">
        <v>448</v>
      </c>
      <c r="F28" s="101">
        <v>1411.15</v>
      </c>
      <c r="G28" s="100">
        <v>168</v>
      </c>
      <c r="H28" s="102">
        <v>0.5</v>
      </c>
      <c r="I28" s="103"/>
      <c r="J28" s="100">
        <v>168</v>
      </c>
      <c r="K28" s="26">
        <f>ROUND(J28*H28,2)</f>
        <v>84</v>
      </c>
      <c r="L28" s="104"/>
      <c r="M28" s="113"/>
      <c r="N28" s="114"/>
      <c r="O28" s="108"/>
      <c r="P28" s="108"/>
      <c r="Q28" s="118"/>
      <c r="R28" s="100"/>
      <c r="S28" s="100"/>
      <c r="T28" s="108"/>
      <c r="U28" s="108"/>
      <c r="V28" s="108"/>
      <c r="W28" s="108"/>
      <c r="X28" s="108"/>
      <c r="Y28" s="108"/>
      <c r="Z28" s="51"/>
      <c r="AA28" s="108"/>
    </row>
    <row r="29" customFormat="1" ht="49.5" spans="1:27">
      <c r="A29" s="100"/>
      <c r="B29" s="106" t="s">
        <v>470</v>
      </c>
      <c r="C29" s="100">
        <v>205</v>
      </c>
      <c r="D29" s="13" t="s">
        <v>471</v>
      </c>
      <c r="E29" s="51" t="s">
        <v>435</v>
      </c>
      <c r="F29" s="119">
        <v>304.24</v>
      </c>
      <c r="G29" s="100">
        <v>135</v>
      </c>
      <c r="H29" s="26" t="s">
        <v>269</v>
      </c>
      <c r="I29" s="104"/>
      <c r="J29" s="100" t="s">
        <v>269</v>
      </c>
      <c r="K29" s="26" t="s">
        <v>269</v>
      </c>
      <c r="L29" s="104"/>
      <c r="M29" s="105" t="s">
        <v>269</v>
      </c>
      <c r="N29" s="104"/>
      <c r="O29" s="100" t="s">
        <v>269</v>
      </c>
      <c r="P29" s="100" t="s">
        <v>269</v>
      </c>
      <c r="Q29" s="100" t="s">
        <v>269</v>
      </c>
      <c r="R29" s="100" t="s">
        <v>37</v>
      </c>
      <c r="S29" s="100" t="s">
        <v>37</v>
      </c>
      <c r="T29" s="100" t="s">
        <v>472</v>
      </c>
      <c r="U29" s="100" t="s">
        <v>128</v>
      </c>
      <c r="V29" s="100" t="s">
        <v>128</v>
      </c>
      <c r="W29" s="100" t="s">
        <v>33</v>
      </c>
      <c r="X29" s="100" t="s">
        <v>33</v>
      </c>
      <c r="Y29" s="100" t="s">
        <v>31</v>
      </c>
      <c r="Z29" s="13" t="s">
        <v>473</v>
      </c>
      <c r="AA29" s="100" t="s">
        <v>474</v>
      </c>
    </row>
    <row r="30" customFormat="1" ht="33" spans="1:27">
      <c r="A30" s="100"/>
      <c r="B30" s="107"/>
      <c r="C30" s="100">
        <v>207</v>
      </c>
      <c r="D30" s="13" t="s">
        <v>464</v>
      </c>
      <c r="E30" s="13" t="s">
        <v>435</v>
      </c>
      <c r="F30" s="101">
        <v>151.68</v>
      </c>
      <c r="G30" s="100">
        <v>135</v>
      </c>
      <c r="H30" s="26">
        <v>0</v>
      </c>
      <c r="I30" s="104"/>
      <c r="J30" s="100">
        <v>135</v>
      </c>
      <c r="K30" s="26">
        <v>0</v>
      </c>
      <c r="L30" s="104"/>
      <c r="M30" s="105">
        <v>0</v>
      </c>
      <c r="N30" s="104"/>
      <c r="O30" s="100">
        <f>ROUND(J30*F30,2)</f>
        <v>20476.8</v>
      </c>
      <c r="P30" s="100">
        <f>ROUND(O30*1.03,2)</f>
        <v>21091.1</v>
      </c>
      <c r="Q30" s="100">
        <f>ROUND(P30*1.03,2)</f>
        <v>21723.83</v>
      </c>
      <c r="R30" s="100">
        <v>22375.54</v>
      </c>
      <c r="S30" s="100">
        <v>23046.81</v>
      </c>
      <c r="T30" s="100" t="s">
        <v>475</v>
      </c>
      <c r="U30" s="100" t="s">
        <v>476</v>
      </c>
      <c r="V30" s="100">
        <v>5</v>
      </c>
      <c r="W30" s="100">
        <v>1</v>
      </c>
      <c r="X30" s="120">
        <v>0.03</v>
      </c>
      <c r="Y30" s="100" t="s">
        <v>31</v>
      </c>
      <c r="Z30" s="13" t="s">
        <v>477</v>
      </c>
      <c r="AA30" s="100" t="s">
        <v>446</v>
      </c>
    </row>
    <row r="31" s="40" customFormat="1" ht="69.4" customHeight="1" spans="1:27">
      <c r="A31" s="100"/>
      <c r="B31" s="107"/>
      <c r="C31" s="100" t="s">
        <v>478</v>
      </c>
      <c r="D31" s="13" t="s">
        <v>479</v>
      </c>
      <c r="E31" s="13" t="s">
        <v>444</v>
      </c>
      <c r="F31" s="121">
        <v>255.7</v>
      </c>
      <c r="G31" s="100">
        <v>138</v>
      </c>
      <c r="H31" s="102">
        <v>0.5</v>
      </c>
      <c r="I31" s="103"/>
      <c r="J31" s="100">
        <v>138</v>
      </c>
      <c r="K31" s="26">
        <v>69</v>
      </c>
      <c r="L31" s="104"/>
      <c r="M31" s="105">
        <v>17643.3</v>
      </c>
      <c r="N31" s="104"/>
      <c r="O31" s="100">
        <f>ROUND(G31*F31,2)</f>
        <v>35286.6</v>
      </c>
      <c r="P31" s="100">
        <v>35286.6</v>
      </c>
      <c r="Q31" s="100">
        <v>35286.6</v>
      </c>
      <c r="R31" s="100" t="s">
        <v>37</v>
      </c>
      <c r="S31" s="100" t="s">
        <v>37</v>
      </c>
      <c r="T31" s="13" t="s">
        <v>480</v>
      </c>
      <c r="U31" s="100" t="s">
        <v>481</v>
      </c>
      <c r="V31" s="100">
        <v>3</v>
      </c>
      <c r="W31" s="100" t="s">
        <v>36</v>
      </c>
      <c r="X31" s="100" t="s">
        <v>37</v>
      </c>
      <c r="Y31" s="100" t="s">
        <v>424</v>
      </c>
      <c r="Z31" s="13" t="s">
        <v>482</v>
      </c>
      <c r="AA31" s="100" t="s">
        <v>483</v>
      </c>
    </row>
    <row r="32" customFormat="1" spans="1:27">
      <c r="A32" s="100"/>
      <c r="B32" s="107"/>
      <c r="C32" s="122" t="s">
        <v>484</v>
      </c>
      <c r="D32" s="55" t="s">
        <v>91</v>
      </c>
      <c r="E32" s="55" t="s">
        <v>448</v>
      </c>
      <c r="F32" s="123">
        <v>255.7</v>
      </c>
      <c r="G32" s="122"/>
      <c r="H32" s="124"/>
      <c r="I32" s="125"/>
      <c r="J32" s="122"/>
      <c r="K32" s="124"/>
      <c r="L32" s="125"/>
      <c r="M32" s="126"/>
      <c r="N32" s="125"/>
      <c r="O32" s="122"/>
      <c r="P32" s="122"/>
      <c r="Q32" s="122"/>
      <c r="R32" s="122"/>
      <c r="S32" s="122"/>
      <c r="T32" s="55"/>
      <c r="U32" s="122"/>
      <c r="V32" s="122"/>
      <c r="W32" s="122"/>
      <c r="X32" s="122"/>
      <c r="Y32" s="122"/>
      <c r="Z32" s="55"/>
      <c r="AA32" s="100"/>
    </row>
    <row r="33" customFormat="1" spans="1:27">
      <c r="A33" s="100"/>
      <c r="B33" s="107"/>
      <c r="C33" s="122" t="s">
        <v>485</v>
      </c>
      <c r="D33" s="55" t="s">
        <v>91</v>
      </c>
      <c r="E33" s="55" t="s">
        <v>448</v>
      </c>
      <c r="F33" s="123">
        <v>255.81</v>
      </c>
      <c r="G33" s="122"/>
      <c r="H33" s="124"/>
      <c r="I33" s="125"/>
      <c r="J33" s="122"/>
      <c r="K33" s="124"/>
      <c r="L33" s="125"/>
      <c r="M33" s="126"/>
      <c r="N33" s="125"/>
      <c r="O33" s="122"/>
      <c r="P33" s="122"/>
      <c r="Q33" s="122"/>
      <c r="R33" s="122"/>
      <c r="S33" s="122"/>
      <c r="T33" s="122"/>
      <c r="U33" s="122"/>
      <c r="V33" s="122"/>
      <c r="W33" s="122"/>
      <c r="X33" s="122"/>
      <c r="Y33" s="122"/>
      <c r="Z33" s="55"/>
      <c r="AA33" s="100" t="s">
        <v>91</v>
      </c>
    </row>
    <row r="34" s="40" customFormat="1" ht="33" spans="1:27">
      <c r="A34" s="100"/>
      <c r="B34" s="107"/>
      <c r="C34" s="100">
        <v>4</v>
      </c>
      <c r="D34" s="13" t="s">
        <v>486</v>
      </c>
      <c r="E34" s="13" t="s">
        <v>487</v>
      </c>
      <c r="F34" s="101">
        <v>1301.89</v>
      </c>
      <c r="G34" s="127">
        <v>141</v>
      </c>
      <c r="H34" s="102">
        <v>0.5</v>
      </c>
      <c r="I34" s="103"/>
      <c r="J34" s="127">
        <v>141</v>
      </c>
      <c r="K34" s="26">
        <f t="shared" ref="K34:K39" si="4">ROUND(J34*H34,2)</f>
        <v>70.5</v>
      </c>
      <c r="L34" s="104"/>
      <c r="M34" s="109">
        <v>403138.42</v>
      </c>
      <c r="N34" s="110"/>
      <c r="O34" s="106">
        <v>806276.82</v>
      </c>
      <c r="P34" s="106">
        <v>806276.82</v>
      </c>
      <c r="Q34" s="106">
        <v>806276.82</v>
      </c>
      <c r="R34" s="106">
        <v>806276.82</v>
      </c>
      <c r="S34" s="106">
        <v>806276.82</v>
      </c>
      <c r="T34" s="46" t="s">
        <v>488</v>
      </c>
      <c r="U34" s="106" t="s">
        <v>489</v>
      </c>
      <c r="V34" s="106">
        <v>5</v>
      </c>
      <c r="W34" s="106" t="s">
        <v>36</v>
      </c>
      <c r="X34" s="112" t="s">
        <v>37</v>
      </c>
      <c r="Y34" s="106" t="s">
        <v>424</v>
      </c>
      <c r="Z34" s="46" t="s">
        <v>490</v>
      </c>
      <c r="AA34" s="106" t="s">
        <v>483</v>
      </c>
    </row>
    <row r="35" s="40" customFormat="1" spans="1:27">
      <c r="A35" s="100"/>
      <c r="B35" s="107"/>
      <c r="C35" s="100">
        <v>5</v>
      </c>
      <c r="D35" s="13" t="s">
        <v>486</v>
      </c>
      <c r="E35" s="13" t="s">
        <v>448</v>
      </c>
      <c r="F35" s="101">
        <v>2192.52</v>
      </c>
      <c r="G35" s="127">
        <v>142</v>
      </c>
      <c r="H35" s="102">
        <v>0.5</v>
      </c>
      <c r="I35" s="103"/>
      <c r="J35" s="127">
        <v>142</v>
      </c>
      <c r="K35" s="26">
        <f t="shared" si="4"/>
        <v>71</v>
      </c>
      <c r="L35" s="104"/>
      <c r="M35" s="113"/>
      <c r="N35" s="114"/>
      <c r="O35" s="107"/>
      <c r="P35" s="107"/>
      <c r="Q35" s="107"/>
      <c r="R35" s="107"/>
      <c r="S35" s="107"/>
      <c r="T35" s="107"/>
      <c r="U35" s="107"/>
      <c r="V35" s="107"/>
      <c r="W35" s="107"/>
      <c r="X35" s="107"/>
      <c r="Y35" s="107"/>
      <c r="Z35" s="62"/>
      <c r="AA35" s="107"/>
    </row>
    <row r="36" s="40" customFormat="1" spans="1:27">
      <c r="A36" s="100"/>
      <c r="B36" s="107"/>
      <c r="C36" s="100">
        <v>6</v>
      </c>
      <c r="D36" s="13" t="s">
        <v>486</v>
      </c>
      <c r="E36" s="13" t="s">
        <v>448</v>
      </c>
      <c r="F36" s="101">
        <v>2177.43</v>
      </c>
      <c r="G36" s="127">
        <v>143</v>
      </c>
      <c r="H36" s="102">
        <v>0.5</v>
      </c>
      <c r="I36" s="103"/>
      <c r="J36" s="127">
        <v>143</v>
      </c>
      <c r="K36" s="26">
        <f t="shared" si="4"/>
        <v>71.5</v>
      </c>
      <c r="L36" s="104"/>
      <c r="M36" s="128"/>
      <c r="N36" s="129"/>
      <c r="O36" s="108"/>
      <c r="P36" s="108"/>
      <c r="Q36" s="108"/>
      <c r="R36" s="108"/>
      <c r="S36" s="108"/>
      <c r="T36" s="108"/>
      <c r="U36" s="108"/>
      <c r="V36" s="108"/>
      <c r="W36" s="108"/>
      <c r="X36" s="108"/>
      <c r="Y36" s="108"/>
      <c r="Z36" s="51"/>
      <c r="AA36" s="108"/>
    </row>
    <row r="37" s="40" customFormat="1" ht="33" spans="1:27">
      <c r="A37" s="100"/>
      <c r="B37" s="107"/>
      <c r="C37" s="100">
        <v>8</v>
      </c>
      <c r="D37" s="13" t="s">
        <v>491</v>
      </c>
      <c r="E37" s="13" t="s">
        <v>492</v>
      </c>
      <c r="F37" s="130">
        <v>2157.2</v>
      </c>
      <c r="G37" s="131">
        <v>141</v>
      </c>
      <c r="H37" s="102">
        <v>0.5</v>
      </c>
      <c r="I37" s="103"/>
      <c r="J37" s="131">
        <v>141</v>
      </c>
      <c r="K37" s="26">
        <f t="shared" si="4"/>
        <v>70.5</v>
      </c>
      <c r="L37" s="104"/>
      <c r="M37" s="109">
        <v>299951.46</v>
      </c>
      <c r="N37" s="110"/>
      <c r="O37" s="106">
        <v>599902.92</v>
      </c>
      <c r="P37" s="106">
        <v>599902.92</v>
      </c>
      <c r="Q37" s="106">
        <v>599902.92</v>
      </c>
      <c r="R37" s="106">
        <v>599902.92</v>
      </c>
      <c r="S37" s="106">
        <v>599902.92</v>
      </c>
      <c r="T37" s="46" t="s">
        <v>493</v>
      </c>
      <c r="U37" s="106" t="s">
        <v>494</v>
      </c>
      <c r="V37" s="106">
        <v>5</v>
      </c>
      <c r="W37" s="106" t="s">
        <v>36</v>
      </c>
      <c r="X37" s="112" t="s">
        <v>37</v>
      </c>
      <c r="Y37" s="106" t="s">
        <v>424</v>
      </c>
      <c r="Z37" s="46" t="s">
        <v>490</v>
      </c>
      <c r="AA37" s="106" t="s">
        <v>483</v>
      </c>
    </row>
    <row r="38" s="40" customFormat="1" spans="1:27">
      <c r="A38" s="100"/>
      <c r="B38" s="107"/>
      <c r="C38" s="100">
        <v>9</v>
      </c>
      <c r="D38" s="13" t="s">
        <v>491</v>
      </c>
      <c r="E38" s="13" t="s">
        <v>495</v>
      </c>
      <c r="F38" s="130">
        <v>2082.66</v>
      </c>
      <c r="G38" s="131">
        <v>142</v>
      </c>
      <c r="H38" s="102">
        <v>0.5</v>
      </c>
      <c r="I38" s="103"/>
      <c r="J38" s="131">
        <v>142</v>
      </c>
      <c r="K38" s="26">
        <f t="shared" si="4"/>
        <v>71</v>
      </c>
      <c r="L38" s="104"/>
      <c r="M38" s="128"/>
      <c r="N38" s="129"/>
      <c r="O38" s="108"/>
      <c r="P38" s="108"/>
      <c r="Q38" s="108"/>
      <c r="R38" s="108"/>
      <c r="S38" s="108"/>
      <c r="T38" s="108"/>
      <c r="U38" s="108"/>
      <c r="V38" s="108"/>
      <c r="W38" s="108"/>
      <c r="X38" s="108"/>
      <c r="Y38" s="108"/>
      <c r="Z38" s="51"/>
      <c r="AA38" s="108"/>
    </row>
    <row r="39" s="40" customFormat="1" ht="39" customHeight="1" spans="1:27">
      <c r="A39" s="100"/>
      <c r="B39" s="107"/>
      <c r="C39" s="13" t="s">
        <v>496</v>
      </c>
      <c r="D39" s="13" t="s">
        <v>497</v>
      </c>
      <c r="E39" s="13" t="s">
        <v>435</v>
      </c>
      <c r="F39" s="121">
        <v>851.2</v>
      </c>
      <c r="G39" s="100">
        <v>143</v>
      </c>
      <c r="H39" s="102">
        <v>0.5</v>
      </c>
      <c r="I39" s="103"/>
      <c r="J39" s="100">
        <v>143</v>
      </c>
      <c r="K39" s="26">
        <f t="shared" si="4"/>
        <v>71.5</v>
      </c>
      <c r="L39" s="104"/>
      <c r="M39" s="105">
        <f>ROUND(K39*F39,2)</f>
        <v>60860.8</v>
      </c>
      <c r="N39" s="104"/>
      <c r="O39" s="100">
        <v>121721.6</v>
      </c>
      <c r="P39" s="100">
        <v>121721.6</v>
      </c>
      <c r="Q39" s="100">
        <v>121721.6</v>
      </c>
      <c r="R39" s="100">
        <v>121721.6</v>
      </c>
      <c r="S39" s="132">
        <v>121721.6</v>
      </c>
      <c r="T39" s="13" t="s">
        <v>498</v>
      </c>
      <c r="U39" s="100" t="s">
        <v>499</v>
      </c>
      <c r="V39" s="100">
        <v>5</v>
      </c>
      <c r="W39" s="100" t="s">
        <v>36</v>
      </c>
      <c r="X39" s="120" t="s">
        <v>37</v>
      </c>
      <c r="Y39" s="100" t="s">
        <v>424</v>
      </c>
      <c r="Z39" s="13" t="s">
        <v>500</v>
      </c>
      <c r="AA39" s="100" t="s">
        <v>483</v>
      </c>
    </row>
    <row r="40" customFormat="1" spans="1:27">
      <c r="A40" s="100"/>
      <c r="B40" s="107"/>
      <c r="C40" s="100" t="s">
        <v>501</v>
      </c>
      <c r="D40" s="13" t="s">
        <v>502</v>
      </c>
      <c r="E40" s="13" t="s">
        <v>419</v>
      </c>
      <c r="F40" s="121">
        <v>1075.17</v>
      </c>
      <c r="G40" s="100">
        <v>143</v>
      </c>
      <c r="H40" s="102">
        <v>0.73</v>
      </c>
      <c r="I40" s="103"/>
      <c r="J40" s="100">
        <v>104.5</v>
      </c>
      <c r="K40" s="26">
        <v>104.5</v>
      </c>
      <c r="L40" s="104"/>
      <c r="M40" s="113" t="s">
        <v>33</v>
      </c>
      <c r="N40" s="113"/>
      <c r="O40" s="100">
        <v>112355.27</v>
      </c>
      <c r="P40" s="100">
        <v>15725.93</v>
      </c>
      <c r="Q40" s="100" t="s">
        <v>503</v>
      </c>
      <c r="R40" s="100">
        <v>122773.64</v>
      </c>
      <c r="S40" s="100">
        <v>126456.85</v>
      </c>
      <c r="T40" s="100" t="s">
        <v>182</v>
      </c>
      <c r="U40" s="100" t="s">
        <v>504</v>
      </c>
      <c r="V40" s="100">
        <v>5</v>
      </c>
      <c r="W40" s="100">
        <v>3</v>
      </c>
      <c r="X40" s="120">
        <v>0.03</v>
      </c>
      <c r="Y40" s="100" t="s">
        <v>31</v>
      </c>
      <c r="Z40" s="13" t="s">
        <v>505</v>
      </c>
      <c r="AA40" s="100" t="s">
        <v>446</v>
      </c>
    </row>
    <row r="41" customFormat="1" spans="1:27">
      <c r="A41" s="100"/>
      <c r="B41" s="107"/>
      <c r="C41" s="122">
        <v>1011</v>
      </c>
      <c r="D41" s="55" t="s">
        <v>91</v>
      </c>
      <c r="E41" s="55" t="s">
        <v>419</v>
      </c>
      <c r="F41" s="123">
        <v>156.29</v>
      </c>
      <c r="G41" s="122"/>
      <c r="H41" s="124"/>
      <c r="I41" s="125"/>
      <c r="J41" s="122"/>
      <c r="K41" s="124"/>
      <c r="L41" s="125"/>
      <c r="M41" s="126"/>
      <c r="N41" s="125"/>
      <c r="O41" s="122"/>
      <c r="P41" s="122"/>
      <c r="Q41" s="122"/>
      <c r="R41" s="122"/>
      <c r="S41" s="122"/>
      <c r="T41" s="122"/>
      <c r="U41" s="122"/>
      <c r="V41" s="122"/>
      <c r="W41" s="122"/>
      <c r="X41" s="122"/>
      <c r="Y41" s="122"/>
      <c r="Z41" s="55"/>
      <c r="AA41" s="100" t="s">
        <v>91</v>
      </c>
    </row>
    <row r="42" customFormat="1" ht="33" spans="1:27">
      <c r="A42" s="100"/>
      <c r="B42" s="107"/>
      <c r="C42" s="3">
        <v>11</v>
      </c>
      <c r="D42" s="13" t="s">
        <v>443</v>
      </c>
      <c r="E42" s="13" t="s">
        <v>506</v>
      </c>
      <c r="F42" s="130">
        <v>2082.66</v>
      </c>
      <c r="G42" s="131">
        <v>176</v>
      </c>
      <c r="H42" s="102">
        <v>0.5</v>
      </c>
      <c r="I42" s="103"/>
      <c r="J42" s="131">
        <v>176</v>
      </c>
      <c r="K42" s="26">
        <f>ROUND(J42*H42,2)</f>
        <v>88</v>
      </c>
      <c r="L42" s="104"/>
      <c r="M42" s="109">
        <v>570508.08</v>
      </c>
      <c r="N42" s="110"/>
      <c r="O42" s="111">
        <v>1141016.16</v>
      </c>
      <c r="P42" s="111">
        <v>1175246.64</v>
      </c>
      <c r="Q42" s="111">
        <v>1210504.04</v>
      </c>
      <c r="R42" s="111" t="s">
        <v>37</v>
      </c>
      <c r="S42" s="111" t="s">
        <v>37</v>
      </c>
      <c r="T42" s="46" t="s">
        <v>507</v>
      </c>
      <c r="U42" s="106" t="s">
        <v>508</v>
      </c>
      <c r="V42" s="106">
        <v>3</v>
      </c>
      <c r="W42" s="106">
        <v>6</v>
      </c>
      <c r="X42" s="112">
        <v>0.03</v>
      </c>
      <c r="Y42" s="106" t="s">
        <v>424</v>
      </c>
      <c r="Z42" s="46" t="s">
        <v>509</v>
      </c>
      <c r="AA42" s="106" t="s">
        <v>446</v>
      </c>
    </row>
    <row r="43" customFormat="1" spans="1:27">
      <c r="A43" s="100"/>
      <c r="B43" s="107"/>
      <c r="C43" s="3">
        <v>12</v>
      </c>
      <c r="D43" s="13" t="s">
        <v>443</v>
      </c>
      <c r="E43" s="13" t="s">
        <v>510</v>
      </c>
      <c r="F43" s="130">
        <v>2150.93</v>
      </c>
      <c r="G43" s="131">
        <v>180</v>
      </c>
      <c r="H43" s="102">
        <v>0.5</v>
      </c>
      <c r="I43" s="103"/>
      <c r="J43" s="131">
        <v>180</v>
      </c>
      <c r="K43" s="26">
        <f>ROUND(J43*H43,2)</f>
        <v>90</v>
      </c>
      <c r="L43" s="104"/>
      <c r="M43" s="113"/>
      <c r="N43" s="114"/>
      <c r="O43" s="107"/>
      <c r="P43" s="107"/>
      <c r="Q43" s="107"/>
      <c r="R43" s="133"/>
      <c r="S43" s="133"/>
      <c r="T43" s="107"/>
      <c r="U43" s="107"/>
      <c r="V43" s="107"/>
      <c r="W43" s="107"/>
      <c r="X43" s="107"/>
      <c r="Y43" s="107"/>
      <c r="Z43" s="62"/>
      <c r="AA43" s="107"/>
    </row>
    <row r="44" customFormat="1" spans="1:27">
      <c r="A44" s="100"/>
      <c r="B44" s="107"/>
      <c r="C44" s="3">
        <v>13</v>
      </c>
      <c r="D44" s="13" t="s">
        <v>443</v>
      </c>
      <c r="E44" s="13" t="s">
        <v>510</v>
      </c>
      <c r="F44" s="130">
        <v>2151.67</v>
      </c>
      <c r="G44" s="131">
        <v>180</v>
      </c>
      <c r="H44" s="102">
        <v>0.5</v>
      </c>
      <c r="I44" s="103"/>
      <c r="J44" s="131">
        <v>180</v>
      </c>
      <c r="K44" s="26">
        <f>ROUND(J44*H44,2)</f>
        <v>90</v>
      </c>
      <c r="L44" s="104"/>
      <c r="M44" s="128"/>
      <c r="N44" s="129"/>
      <c r="O44" s="108"/>
      <c r="P44" s="108"/>
      <c r="Q44" s="108"/>
      <c r="R44" s="134"/>
      <c r="S44" s="134"/>
      <c r="T44" s="108"/>
      <c r="U44" s="108"/>
      <c r="V44" s="108"/>
      <c r="W44" s="108"/>
      <c r="X44" s="108"/>
      <c r="Y44" s="108"/>
      <c r="Z44" s="51"/>
      <c r="AA44" s="108"/>
    </row>
    <row r="45" s="40" customFormat="1" ht="33" spans="1:27">
      <c r="A45" s="100"/>
      <c r="B45" s="107"/>
      <c r="C45" s="3">
        <v>14</v>
      </c>
      <c r="D45" s="13" t="s">
        <v>452</v>
      </c>
      <c r="E45" s="13" t="s">
        <v>511</v>
      </c>
      <c r="F45" s="130">
        <v>2150.93</v>
      </c>
      <c r="G45" s="131">
        <v>147</v>
      </c>
      <c r="H45" s="120">
        <v>0.5</v>
      </c>
      <c r="I45" s="120">
        <v>0.3</v>
      </c>
      <c r="J45" s="131">
        <v>147</v>
      </c>
      <c r="K45" s="131">
        <f>ROUND(G45*H45,2)</f>
        <v>73.5</v>
      </c>
      <c r="L45" s="100">
        <f>ROUND(G45*I45,2)</f>
        <v>44.1</v>
      </c>
      <c r="M45" s="106">
        <v>947515.17</v>
      </c>
      <c r="N45" s="46">
        <v>568509.09</v>
      </c>
      <c r="O45" s="106">
        <v>1895030.31</v>
      </c>
      <c r="P45" s="106">
        <v>1895030.31</v>
      </c>
      <c r="Q45" s="106">
        <v>1895030.31</v>
      </c>
      <c r="R45" s="106">
        <v>1895030.31</v>
      </c>
      <c r="S45" s="106">
        <v>1895030.31</v>
      </c>
      <c r="T45" s="46" t="s">
        <v>512</v>
      </c>
      <c r="U45" s="106" t="s">
        <v>513</v>
      </c>
      <c r="V45" s="106">
        <v>5</v>
      </c>
      <c r="W45" s="106" t="s">
        <v>36</v>
      </c>
      <c r="X45" s="112" t="s">
        <v>37</v>
      </c>
      <c r="Y45" s="106" t="s">
        <v>424</v>
      </c>
      <c r="Z45" s="46" t="s">
        <v>490</v>
      </c>
      <c r="AA45" s="46" t="s">
        <v>514</v>
      </c>
    </row>
    <row r="46" s="40" customFormat="1" spans="1:27">
      <c r="A46" s="100"/>
      <c r="B46" s="107"/>
      <c r="C46" s="3">
        <v>15</v>
      </c>
      <c r="D46" s="13" t="s">
        <v>452</v>
      </c>
      <c r="E46" s="13" t="s">
        <v>495</v>
      </c>
      <c r="F46" s="130">
        <v>2151.67</v>
      </c>
      <c r="G46" s="131">
        <v>148</v>
      </c>
      <c r="H46" s="120">
        <v>0.5</v>
      </c>
      <c r="I46" s="120">
        <v>0.3</v>
      </c>
      <c r="J46" s="131">
        <v>148</v>
      </c>
      <c r="K46" s="131">
        <f t="shared" ref="K46:K56" si="5">ROUND(G46*H46,2)</f>
        <v>74</v>
      </c>
      <c r="L46" s="100">
        <f t="shared" ref="L46:L56" si="6">ROUND(G46*I46,2)</f>
        <v>44.4</v>
      </c>
      <c r="M46" s="107"/>
      <c r="N46" s="107"/>
      <c r="O46" s="107"/>
      <c r="P46" s="107"/>
      <c r="Q46" s="107"/>
      <c r="R46" s="107"/>
      <c r="S46" s="107"/>
      <c r="T46" s="107"/>
      <c r="U46" s="107"/>
      <c r="V46" s="107"/>
      <c r="W46" s="107"/>
      <c r="X46" s="107"/>
      <c r="Y46" s="107"/>
      <c r="Z46" s="62"/>
      <c r="AA46" s="107"/>
    </row>
    <row r="47" s="40" customFormat="1" spans="1:27">
      <c r="A47" s="100"/>
      <c r="B47" s="107"/>
      <c r="C47" s="3">
        <v>16</v>
      </c>
      <c r="D47" s="13" t="s">
        <v>452</v>
      </c>
      <c r="E47" s="13" t="s">
        <v>495</v>
      </c>
      <c r="F47" s="130">
        <v>2151.67</v>
      </c>
      <c r="G47" s="131">
        <v>149</v>
      </c>
      <c r="H47" s="120">
        <v>0.5</v>
      </c>
      <c r="I47" s="120">
        <v>0.3</v>
      </c>
      <c r="J47" s="131">
        <v>149</v>
      </c>
      <c r="K47" s="131">
        <f t="shared" si="5"/>
        <v>74.5</v>
      </c>
      <c r="L47" s="100">
        <f t="shared" si="6"/>
        <v>44.7</v>
      </c>
      <c r="M47" s="107"/>
      <c r="N47" s="107"/>
      <c r="O47" s="107"/>
      <c r="P47" s="107"/>
      <c r="Q47" s="107"/>
      <c r="R47" s="107"/>
      <c r="S47" s="107"/>
      <c r="T47" s="107"/>
      <c r="U47" s="107"/>
      <c r="V47" s="107"/>
      <c r="W47" s="107"/>
      <c r="X47" s="107"/>
      <c r="Y47" s="107"/>
      <c r="Z47" s="62"/>
      <c r="AA47" s="107"/>
    </row>
    <row r="48" s="40" customFormat="1" spans="1:27">
      <c r="A48" s="100"/>
      <c r="B48" s="107"/>
      <c r="C48" s="3">
        <v>17</v>
      </c>
      <c r="D48" s="13" t="s">
        <v>452</v>
      </c>
      <c r="E48" s="13" t="s">
        <v>495</v>
      </c>
      <c r="F48" s="130">
        <v>2151.67</v>
      </c>
      <c r="G48" s="131">
        <v>150</v>
      </c>
      <c r="H48" s="120">
        <v>0.5</v>
      </c>
      <c r="I48" s="120">
        <v>0.3</v>
      </c>
      <c r="J48" s="131">
        <v>150</v>
      </c>
      <c r="K48" s="131">
        <f t="shared" si="5"/>
        <v>75</v>
      </c>
      <c r="L48" s="100">
        <f t="shared" si="6"/>
        <v>45</v>
      </c>
      <c r="M48" s="107"/>
      <c r="N48" s="107"/>
      <c r="O48" s="107"/>
      <c r="P48" s="107"/>
      <c r="Q48" s="107"/>
      <c r="R48" s="107"/>
      <c r="S48" s="107"/>
      <c r="T48" s="107"/>
      <c r="U48" s="107"/>
      <c r="V48" s="107"/>
      <c r="W48" s="107"/>
      <c r="X48" s="107"/>
      <c r="Y48" s="107"/>
      <c r="Z48" s="62"/>
      <c r="AA48" s="107"/>
    </row>
    <row r="49" s="40" customFormat="1" spans="1:27">
      <c r="A49" s="100"/>
      <c r="B49" s="107"/>
      <c r="C49" s="3">
        <v>19</v>
      </c>
      <c r="D49" s="13" t="s">
        <v>452</v>
      </c>
      <c r="E49" s="13" t="s">
        <v>495</v>
      </c>
      <c r="F49" s="130">
        <v>2024.55</v>
      </c>
      <c r="G49" s="131">
        <v>152</v>
      </c>
      <c r="H49" s="120">
        <v>0.5</v>
      </c>
      <c r="I49" s="120">
        <v>0.3</v>
      </c>
      <c r="J49" s="131">
        <v>152</v>
      </c>
      <c r="K49" s="131">
        <f t="shared" si="5"/>
        <v>76</v>
      </c>
      <c r="L49" s="100">
        <f t="shared" si="6"/>
        <v>45.6</v>
      </c>
      <c r="M49" s="107"/>
      <c r="N49" s="107"/>
      <c r="O49" s="107"/>
      <c r="P49" s="107"/>
      <c r="Q49" s="107"/>
      <c r="R49" s="107"/>
      <c r="S49" s="107"/>
      <c r="T49" s="107"/>
      <c r="U49" s="107"/>
      <c r="V49" s="107"/>
      <c r="W49" s="107"/>
      <c r="X49" s="107"/>
      <c r="Y49" s="107"/>
      <c r="Z49" s="62"/>
      <c r="AA49" s="107"/>
    </row>
    <row r="50" s="40" customFormat="1" spans="1:27">
      <c r="A50" s="100"/>
      <c r="B50" s="107"/>
      <c r="C50" s="3">
        <v>20</v>
      </c>
      <c r="D50" s="13" t="s">
        <v>452</v>
      </c>
      <c r="E50" s="13" t="s">
        <v>495</v>
      </c>
      <c r="F50" s="130">
        <v>2021.67</v>
      </c>
      <c r="G50" s="131">
        <v>153</v>
      </c>
      <c r="H50" s="120">
        <v>0.5</v>
      </c>
      <c r="I50" s="120">
        <v>0.3</v>
      </c>
      <c r="J50" s="131">
        <v>153</v>
      </c>
      <c r="K50" s="131">
        <f t="shared" si="5"/>
        <v>76.5</v>
      </c>
      <c r="L50" s="100">
        <f t="shared" si="6"/>
        <v>45.9</v>
      </c>
      <c r="M50" s="108"/>
      <c r="N50" s="108"/>
      <c r="O50" s="108"/>
      <c r="P50" s="108"/>
      <c r="Q50" s="108"/>
      <c r="R50" s="108"/>
      <c r="S50" s="108"/>
      <c r="T50" s="108"/>
      <c r="U50" s="108"/>
      <c r="V50" s="108"/>
      <c r="W50" s="108"/>
      <c r="X50" s="108"/>
      <c r="Y50" s="108"/>
      <c r="Z50" s="51"/>
      <c r="AA50" s="108"/>
    </row>
    <row r="51" s="40" customFormat="1" ht="33" spans="1:27">
      <c r="A51" s="100"/>
      <c r="B51" s="107"/>
      <c r="C51" s="3">
        <v>21</v>
      </c>
      <c r="D51" s="13" t="s">
        <v>464</v>
      </c>
      <c r="E51" s="13" t="s">
        <v>511</v>
      </c>
      <c r="F51" s="130">
        <v>2021.67</v>
      </c>
      <c r="G51" s="131">
        <v>154</v>
      </c>
      <c r="H51" s="120">
        <v>0.5</v>
      </c>
      <c r="I51" s="120">
        <v>0.3</v>
      </c>
      <c r="J51" s="131">
        <v>154</v>
      </c>
      <c r="K51" s="131">
        <f t="shared" si="5"/>
        <v>77</v>
      </c>
      <c r="L51" s="100">
        <f t="shared" si="6"/>
        <v>46.2</v>
      </c>
      <c r="M51" s="106">
        <v>871646.96</v>
      </c>
      <c r="N51" s="106">
        <v>522988.18</v>
      </c>
      <c r="O51" s="106">
        <v>1743293.91</v>
      </c>
      <c r="P51" s="106">
        <v>1743293.91</v>
      </c>
      <c r="Q51" s="106">
        <v>1743293.91</v>
      </c>
      <c r="R51" s="106">
        <v>1743293.91</v>
      </c>
      <c r="S51" s="106">
        <v>1743293.91</v>
      </c>
      <c r="T51" s="46" t="s">
        <v>512</v>
      </c>
      <c r="U51" s="106" t="s">
        <v>513</v>
      </c>
      <c r="V51" s="106">
        <v>5</v>
      </c>
      <c r="W51" s="106" t="s">
        <v>36</v>
      </c>
      <c r="X51" s="112" t="s">
        <v>37</v>
      </c>
      <c r="Y51" s="106" t="s">
        <v>424</v>
      </c>
      <c r="Z51" s="46" t="s">
        <v>490</v>
      </c>
      <c r="AA51" s="46" t="s">
        <v>514</v>
      </c>
    </row>
    <row r="52" s="40" customFormat="1" spans="1:27">
      <c r="A52" s="100"/>
      <c r="B52" s="107"/>
      <c r="C52" s="3">
        <v>22</v>
      </c>
      <c r="D52" s="13" t="s">
        <v>464</v>
      </c>
      <c r="E52" s="13" t="s">
        <v>495</v>
      </c>
      <c r="F52" s="130">
        <v>1851.93</v>
      </c>
      <c r="G52" s="131">
        <v>155</v>
      </c>
      <c r="H52" s="120">
        <v>0.5</v>
      </c>
      <c r="I52" s="120">
        <v>0.3</v>
      </c>
      <c r="J52" s="131">
        <v>155</v>
      </c>
      <c r="K52" s="131">
        <f t="shared" si="5"/>
        <v>77.5</v>
      </c>
      <c r="L52" s="100">
        <f t="shared" si="6"/>
        <v>46.5</v>
      </c>
      <c r="M52" s="107"/>
      <c r="N52" s="107"/>
      <c r="O52" s="107"/>
      <c r="P52" s="107"/>
      <c r="Q52" s="107"/>
      <c r="R52" s="107"/>
      <c r="S52" s="107"/>
      <c r="T52" s="107"/>
      <c r="U52" s="107"/>
      <c r="V52" s="107"/>
      <c r="W52" s="107"/>
      <c r="X52" s="107"/>
      <c r="Y52" s="107"/>
      <c r="Z52" s="62"/>
      <c r="AA52" s="107"/>
    </row>
    <row r="53" s="40" customFormat="1" spans="1:27">
      <c r="A53" s="100"/>
      <c r="B53" s="107"/>
      <c r="C53" s="3">
        <v>23</v>
      </c>
      <c r="D53" s="13" t="s">
        <v>464</v>
      </c>
      <c r="E53" s="13" t="s">
        <v>495</v>
      </c>
      <c r="F53" s="130">
        <v>1849.26</v>
      </c>
      <c r="G53" s="131">
        <v>156</v>
      </c>
      <c r="H53" s="120">
        <v>0.5</v>
      </c>
      <c r="I53" s="120">
        <v>0.3</v>
      </c>
      <c r="J53" s="131">
        <v>156</v>
      </c>
      <c r="K53" s="131">
        <f t="shared" si="5"/>
        <v>78</v>
      </c>
      <c r="L53" s="100">
        <f t="shared" si="6"/>
        <v>46.8</v>
      </c>
      <c r="M53" s="107"/>
      <c r="N53" s="107"/>
      <c r="O53" s="107"/>
      <c r="P53" s="107"/>
      <c r="Q53" s="107"/>
      <c r="R53" s="107"/>
      <c r="S53" s="107"/>
      <c r="T53" s="107"/>
      <c r="U53" s="107"/>
      <c r="V53" s="107"/>
      <c r="W53" s="107"/>
      <c r="X53" s="107"/>
      <c r="Y53" s="107"/>
      <c r="Z53" s="62"/>
      <c r="AA53" s="107"/>
    </row>
    <row r="54" s="40" customFormat="1" spans="1:27">
      <c r="A54" s="100"/>
      <c r="B54" s="107"/>
      <c r="C54" s="3">
        <v>24</v>
      </c>
      <c r="D54" s="13" t="s">
        <v>464</v>
      </c>
      <c r="E54" s="13" t="s">
        <v>495</v>
      </c>
      <c r="F54" s="130">
        <v>1849.26</v>
      </c>
      <c r="G54" s="131">
        <v>157</v>
      </c>
      <c r="H54" s="120">
        <v>0.5</v>
      </c>
      <c r="I54" s="120">
        <v>0.3</v>
      </c>
      <c r="J54" s="131">
        <v>157</v>
      </c>
      <c r="K54" s="131">
        <f t="shared" si="5"/>
        <v>78.5</v>
      </c>
      <c r="L54" s="100">
        <f t="shared" si="6"/>
        <v>47.1</v>
      </c>
      <c r="M54" s="107"/>
      <c r="N54" s="107"/>
      <c r="O54" s="107"/>
      <c r="P54" s="107"/>
      <c r="Q54" s="107"/>
      <c r="R54" s="107"/>
      <c r="S54" s="107"/>
      <c r="T54" s="107"/>
      <c r="U54" s="107"/>
      <c r="V54" s="107"/>
      <c r="W54" s="107"/>
      <c r="X54" s="107"/>
      <c r="Y54" s="107"/>
      <c r="Z54" s="62"/>
      <c r="AA54" s="107"/>
    </row>
    <row r="55" s="40" customFormat="1" spans="1:27">
      <c r="A55" s="100"/>
      <c r="B55" s="107"/>
      <c r="C55" s="3">
        <v>25</v>
      </c>
      <c r="D55" s="13" t="s">
        <v>464</v>
      </c>
      <c r="E55" s="13" t="s">
        <v>495</v>
      </c>
      <c r="F55" s="130">
        <v>1849.26</v>
      </c>
      <c r="G55" s="131">
        <v>158</v>
      </c>
      <c r="H55" s="120">
        <v>0.5</v>
      </c>
      <c r="I55" s="120">
        <v>0.3</v>
      </c>
      <c r="J55" s="131">
        <v>158</v>
      </c>
      <c r="K55" s="131">
        <f t="shared" si="5"/>
        <v>79</v>
      </c>
      <c r="L55" s="100">
        <f t="shared" si="6"/>
        <v>47.4</v>
      </c>
      <c r="M55" s="107"/>
      <c r="N55" s="107"/>
      <c r="O55" s="107"/>
      <c r="P55" s="107"/>
      <c r="Q55" s="107"/>
      <c r="R55" s="107"/>
      <c r="S55" s="107"/>
      <c r="T55" s="107"/>
      <c r="U55" s="107"/>
      <c r="V55" s="107"/>
      <c r="W55" s="107"/>
      <c r="X55" s="107"/>
      <c r="Y55" s="107"/>
      <c r="Z55" s="62"/>
      <c r="AA55" s="107"/>
    </row>
    <row r="56" s="40" customFormat="1" spans="1:27">
      <c r="A56" s="100"/>
      <c r="B56" s="107"/>
      <c r="C56" s="3">
        <v>26</v>
      </c>
      <c r="D56" s="13" t="s">
        <v>464</v>
      </c>
      <c r="E56" s="13" t="s">
        <v>495</v>
      </c>
      <c r="F56" s="130">
        <v>1722.68</v>
      </c>
      <c r="G56" s="131">
        <v>159</v>
      </c>
      <c r="H56" s="120">
        <v>0.5</v>
      </c>
      <c r="I56" s="120">
        <v>0.3</v>
      </c>
      <c r="J56" s="131">
        <v>159</v>
      </c>
      <c r="K56" s="131">
        <f t="shared" si="5"/>
        <v>79.5</v>
      </c>
      <c r="L56" s="100">
        <f t="shared" si="6"/>
        <v>47.7</v>
      </c>
      <c r="M56" s="108"/>
      <c r="N56" s="108"/>
      <c r="O56" s="108"/>
      <c r="P56" s="108"/>
      <c r="Q56" s="108"/>
      <c r="R56" s="108"/>
      <c r="S56" s="108"/>
      <c r="T56" s="108"/>
      <c r="U56" s="108"/>
      <c r="V56" s="108"/>
      <c r="W56" s="108"/>
      <c r="X56" s="108"/>
      <c r="Y56" s="108"/>
      <c r="Z56" s="51"/>
      <c r="AA56" s="108"/>
    </row>
    <row r="57" customFormat="1" ht="49.5" spans="1:27">
      <c r="A57" s="100"/>
      <c r="B57" s="107"/>
      <c r="C57" s="3">
        <v>27</v>
      </c>
      <c r="D57" s="13" t="s">
        <v>515</v>
      </c>
      <c r="E57" s="13" t="s">
        <v>419</v>
      </c>
      <c r="F57" s="130">
        <v>1719.98</v>
      </c>
      <c r="G57" s="131">
        <v>177</v>
      </c>
      <c r="H57" s="100" t="s">
        <v>269</v>
      </c>
      <c r="I57" s="100"/>
      <c r="J57" s="131">
        <v>177</v>
      </c>
      <c r="K57" s="131"/>
      <c r="L57" s="100" t="s">
        <v>269</v>
      </c>
      <c r="M57" s="100"/>
      <c r="N57" s="100">
        <v>0</v>
      </c>
      <c r="O57" s="100">
        <f>ROUND(J57*F57,2)</f>
        <v>304436.46</v>
      </c>
      <c r="P57" s="100">
        <f t="shared" ref="P57:S57" si="7">ROUND(O57*1.03,2)</f>
        <v>313569.55</v>
      </c>
      <c r="Q57" s="100">
        <f t="shared" si="7"/>
        <v>322976.64</v>
      </c>
      <c r="R57" s="100">
        <f t="shared" si="7"/>
        <v>332665.94</v>
      </c>
      <c r="S57" s="100">
        <f t="shared" si="7"/>
        <v>342645.92</v>
      </c>
      <c r="T57" s="13" t="s">
        <v>516</v>
      </c>
      <c r="U57" s="100" t="s">
        <v>517</v>
      </c>
      <c r="V57" s="100">
        <v>5</v>
      </c>
      <c r="W57" s="100" t="s">
        <v>269</v>
      </c>
      <c r="X57" s="120">
        <v>0.03</v>
      </c>
      <c r="Y57" s="100" t="s">
        <v>424</v>
      </c>
      <c r="Z57" s="13" t="s">
        <v>518</v>
      </c>
      <c r="AA57" s="13" t="s">
        <v>519</v>
      </c>
    </row>
    <row r="58" customFormat="1" ht="33" spans="1:27">
      <c r="A58" s="100"/>
      <c r="B58" s="108"/>
      <c r="C58" s="135">
        <v>28</v>
      </c>
      <c r="D58" s="55" t="s">
        <v>520</v>
      </c>
      <c r="E58" s="55" t="s">
        <v>419</v>
      </c>
      <c r="F58" s="123">
        <v>1502.45</v>
      </c>
      <c r="G58" s="122"/>
      <c r="H58" s="122"/>
      <c r="I58" s="122"/>
      <c r="J58" s="122"/>
      <c r="K58" s="122"/>
      <c r="L58" s="122"/>
      <c r="M58" s="122"/>
      <c r="N58" s="122"/>
      <c r="O58" s="122"/>
      <c r="P58" s="122"/>
      <c r="Q58" s="122"/>
      <c r="R58" s="122"/>
      <c r="S58" s="122"/>
      <c r="T58" s="122"/>
      <c r="U58" s="122"/>
      <c r="V58" s="122"/>
      <c r="W58" s="122"/>
      <c r="X58" s="122"/>
      <c r="Y58" s="122"/>
      <c r="Z58" s="55"/>
      <c r="AA58" s="13" t="s">
        <v>521</v>
      </c>
    </row>
    <row r="63" spans="1:27">
      <c r="F63" s="136"/>
    </row>
    <row r="64" spans="1:27">
      <c r="F64" s="136"/>
      <c r="G64" s="137"/>
      <c r="H64" s="138"/>
    </row>
    <row r="65" spans="6:8">
      <c r="F65" s="136"/>
      <c r="G65" s="137"/>
      <c r="H65" s="138"/>
    </row>
    <row r="66" spans="6:8">
      <c r="F66" s="136"/>
      <c r="G66" s="137"/>
      <c r="H66" s="138"/>
    </row>
    <row r="67" spans="6:8">
      <c r="F67" s="136"/>
      <c r="G67" s="139"/>
      <c r="H67" s="140"/>
    </row>
    <row r="68" spans="6:8">
      <c r="F68" s="136"/>
      <c r="G68" s="139"/>
      <c r="H68" s="140"/>
    </row>
    <row r="69" spans="6:8">
      <c r="F69" s="139"/>
    </row>
    <row r="70" spans="6:8">
      <c r="F70" s="139"/>
    </row>
    <row r="71" spans="6:8">
      <c r="F71" s="139"/>
    </row>
    <row r="72" spans="6:8">
      <c r="F72" s="139"/>
    </row>
    <row r="73" spans="6:8">
      <c r="F73" s="139"/>
    </row>
    <row r="74" spans="6:8">
      <c r="F74" s="139"/>
    </row>
  </sheetData>
  <sheetProtection formatCells="0" formatColumns="0" formatRows="0" insertRows="0" insertColumns="0" insertHyperlinks="0" deleteColumns="0" deleteRows="0" sort="0" autoFilter="0" pivotTables="0"/>
  <mergeCells count="271">
    <mergeCell ref="A1:AA1"/>
    <mergeCell ref="H4:I4"/>
    <mergeCell ref="K4:L4"/>
    <mergeCell ref="M4:N4"/>
    <mergeCell ref="H5:I5"/>
    <mergeCell ref="K5:L5"/>
    <mergeCell ref="M5:N5"/>
    <mergeCell ref="H6:I6"/>
    <mergeCell ref="K6:L6"/>
    <mergeCell ref="M6:N6"/>
    <mergeCell ref="H7:I7"/>
    <mergeCell ref="K7:L7"/>
    <mergeCell ref="M7:N7"/>
    <mergeCell ref="H8:I8"/>
    <mergeCell ref="K8:L8"/>
    <mergeCell ref="M8:N8"/>
    <mergeCell ref="H9:I9"/>
    <mergeCell ref="K9:L9"/>
    <mergeCell ref="M9:N9"/>
    <mergeCell ref="H10:I10"/>
    <mergeCell ref="K10:L10"/>
    <mergeCell ref="M10:N10"/>
    <mergeCell ref="H11:I11"/>
    <mergeCell ref="K11:L11"/>
    <mergeCell ref="M11:N11"/>
    <mergeCell ref="H12:I12"/>
    <mergeCell ref="K12:L12"/>
    <mergeCell ref="M12:N12"/>
    <mergeCell ref="H13:I13"/>
    <mergeCell ref="K13:L13"/>
    <mergeCell ref="M13:N13"/>
    <mergeCell ref="H14:I14"/>
    <mergeCell ref="K14:L14"/>
    <mergeCell ref="M14:N14"/>
    <mergeCell ref="H15:I15"/>
    <mergeCell ref="K15:L15"/>
    <mergeCell ref="M15:N15"/>
    <mergeCell ref="H16:I16"/>
    <mergeCell ref="K16:L16"/>
    <mergeCell ref="M16:N16"/>
    <mergeCell ref="H17:I17"/>
    <mergeCell ref="K17:L17"/>
    <mergeCell ref="M17:N17"/>
    <mergeCell ref="H18:I18"/>
    <mergeCell ref="K18:L18"/>
    <mergeCell ref="M18:N18"/>
    <mergeCell ref="H19:I19"/>
    <mergeCell ref="K19:L19"/>
    <mergeCell ref="M19:N19"/>
    <mergeCell ref="H20:I20"/>
    <mergeCell ref="K20:L20"/>
    <mergeCell ref="M20:N20"/>
    <mergeCell ref="H21:I21"/>
    <mergeCell ref="K21:L21"/>
    <mergeCell ref="H22:I22"/>
    <mergeCell ref="K22:L22"/>
    <mergeCell ref="H23:I23"/>
    <mergeCell ref="K23:L23"/>
    <mergeCell ref="H24:I24"/>
    <mergeCell ref="K24:L24"/>
    <mergeCell ref="H25:I25"/>
    <mergeCell ref="K25:L25"/>
    <mergeCell ref="M25:N25"/>
    <mergeCell ref="H26:I26"/>
    <mergeCell ref="K26:L26"/>
    <mergeCell ref="H27:I27"/>
    <mergeCell ref="K27:L27"/>
    <mergeCell ref="H28:I28"/>
    <mergeCell ref="K28:L28"/>
    <mergeCell ref="H29:I29"/>
    <mergeCell ref="K29:L29"/>
    <mergeCell ref="M29:N29"/>
    <mergeCell ref="H30:I30"/>
    <mergeCell ref="K30:L30"/>
    <mergeCell ref="M30:N30"/>
    <mergeCell ref="H31:I31"/>
    <mergeCell ref="K31:L31"/>
    <mergeCell ref="M31:N31"/>
    <mergeCell ref="H32:I32"/>
    <mergeCell ref="K32:L32"/>
    <mergeCell ref="M32:N32"/>
    <mergeCell ref="H33:I33"/>
    <mergeCell ref="K33:L33"/>
    <mergeCell ref="M33:N33"/>
    <mergeCell ref="H34:I34"/>
    <mergeCell ref="K34:L34"/>
    <mergeCell ref="H35:I35"/>
    <mergeCell ref="K35:L35"/>
    <mergeCell ref="H36:I36"/>
    <mergeCell ref="K36:L36"/>
    <mergeCell ref="H37:I37"/>
    <mergeCell ref="K37:L37"/>
    <mergeCell ref="H38:I38"/>
    <mergeCell ref="K38:L38"/>
    <mergeCell ref="H39:I39"/>
    <mergeCell ref="K39:L39"/>
    <mergeCell ref="M39:N39"/>
    <mergeCell ref="H40:I40"/>
    <mergeCell ref="K40:L40"/>
    <mergeCell ref="M40:N40"/>
    <mergeCell ref="H41:I41"/>
    <mergeCell ref="K41:L41"/>
    <mergeCell ref="M41:N41"/>
    <mergeCell ref="H42:I42"/>
    <mergeCell ref="K42:L42"/>
    <mergeCell ref="H43:I43"/>
    <mergeCell ref="K43:L43"/>
    <mergeCell ref="H44:I44"/>
    <mergeCell ref="K44:L44"/>
    <mergeCell ref="A2:A3"/>
    <mergeCell ref="B2:B3"/>
    <mergeCell ref="B4:B28"/>
    <mergeCell ref="B29:B58"/>
    <mergeCell ref="C2:C3"/>
    <mergeCell ref="D2:D3"/>
    <mergeCell ref="E2:E3"/>
    <mergeCell ref="F2:F3"/>
    <mergeCell ref="G2:G3"/>
    <mergeCell ref="J2:J3"/>
    <mergeCell ref="M45:M50"/>
    <mergeCell ref="M51:M56"/>
    <mergeCell ref="N45:N50"/>
    <mergeCell ref="N51:N56"/>
    <mergeCell ref="O2:O3"/>
    <mergeCell ref="O21:O24"/>
    <mergeCell ref="O26:O28"/>
    <mergeCell ref="O34:O36"/>
    <mergeCell ref="O37:O38"/>
    <mergeCell ref="O42:O44"/>
    <mergeCell ref="O45:O50"/>
    <mergeCell ref="O51:O56"/>
    <mergeCell ref="P2:P3"/>
    <mergeCell ref="P7:P8"/>
    <mergeCell ref="P9:P16"/>
    <mergeCell ref="P17:P20"/>
    <mergeCell ref="P21:P24"/>
    <mergeCell ref="P26:P28"/>
    <mergeCell ref="P34:P36"/>
    <mergeCell ref="P37:P38"/>
    <mergeCell ref="P42:P44"/>
    <mergeCell ref="P45:P50"/>
    <mergeCell ref="P51:P56"/>
    <mergeCell ref="Q2:Q3"/>
    <mergeCell ref="Q7:Q8"/>
    <mergeCell ref="Q9:Q16"/>
    <mergeCell ref="Q17:Q20"/>
    <mergeCell ref="Q21:Q24"/>
    <mergeCell ref="Q26:Q28"/>
    <mergeCell ref="Q34:Q36"/>
    <mergeCell ref="Q37:Q38"/>
    <mergeCell ref="Q42:Q44"/>
    <mergeCell ref="Q45:Q50"/>
    <mergeCell ref="Q51:Q56"/>
    <mergeCell ref="R2:R3"/>
    <mergeCell ref="R7:R8"/>
    <mergeCell ref="R9:R16"/>
    <mergeCell ref="R17:R20"/>
    <mergeCell ref="R21:R24"/>
    <mergeCell ref="R26:R28"/>
    <mergeCell ref="R34:R36"/>
    <mergeCell ref="R37:R38"/>
    <mergeCell ref="R42:R44"/>
    <mergeCell ref="R45:R50"/>
    <mergeCell ref="R51:R56"/>
    <mergeCell ref="S2:S3"/>
    <mergeCell ref="S7:S8"/>
    <mergeCell ref="S9:S16"/>
    <mergeCell ref="S17:S20"/>
    <mergeCell ref="S21:S24"/>
    <mergeCell ref="S26:S28"/>
    <mergeCell ref="S34:S36"/>
    <mergeCell ref="S37:S38"/>
    <mergeCell ref="S42:S44"/>
    <mergeCell ref="S45:S50"/>
    <mergeCell ref="S51:S56"/>
    <mergeCell ref="T2:T3"/>
    <mergeCell ref="T7:T8"/>
    <mergeCell ref="T9:T16"/>
    <mergeCell ref="T17:T20"/>
    <mergeCell ref="T21:T24"/>
    <mergeCell ref="T26:T28"/>
    <mergeCell ref="T34:T36"/>
    <mergeCell ref="T37:T38"/>
    <mergeCell ref="T42:T44"/>
    <mergeCell ref="T45:T50"/>
    <mergeCell ref="T51:T56"/>
    <mergeCell ref="U2:U3"/>
    <mergeCell ref="U7:U8"/>
    <mergeCell ref="U9:U16"/>
    <mergeCell ref="U17:U20"/>
    <mergeCell ref="U21:U24"/>
    <mergeCell ref="U26:U28"/>
    <mergeCell ref="U34:U36"/>
    <mergeCell ref="U37:U38"/>
    <mergeCell ref="U42:U44"/>
    <mergeCell ref="U45:U50"/>
    <mergeCell ref="U51:U56"/>
    <mergeCell ref="V2:V3"/>
    <mergeCell ref="V7:V8"/>
    <mergeCell ref="V9:V16"/>
    <mergeCell ref="V17:V20"/>
    <mergeCell ref="V21:V24"/>
    <mergeCell ref="V26:V28"/>
    <mergeCell ref="V34:V36"/>
    <mergeCell ref="V37:V38"/>
    <mergeCell ref="V42:V44"/>
    <mergeCell ref="V45:V50"/>
    <mergeCell ref="V51:V56"/>
    <mergeCell ref="W2:W3"/>
    <mergeCell ref="W7:W8"/>
    <mergeCell ref="W9:W16"/>
    <mergeCell ref="W17:W20"/>
    <mergeCell ref="W21:W24"/>
    <mergeCell ref="W26:W28"/>
    <mergeCell ref="W34:W36"/>
    <mergeCell ref="W37:W38"/>
    <mergeCell ref="W42:W44"/>
    <mergeCell ref="W45:W50"/>
    <mergeCell ref="W51:W56"/>
    <mergeCell ref="X2:X3"/>
    <mergeCell ref="X7:X8"/>
    <mergeCell ref="X9:X16"/>
    <mergeCell ref="X17:X20"/>
    <mergeCell ref="X21:X24"/>
    <mergeCell ref="X26:X28"/>
    <mergeCell ref="X34:X36"/>
    <mergeCell ref="X37:X38"/>
    <mergeCell ref="X42:X44"/>
    <mergeCell ref="X45:X50"/>
    <mergeCell ref="X51:X56"/>
    <mergeCell ref="Y2:Y3"/>
    <mergeCell ref="Y7:Y8"/>
    <mergeCell ref="Y9:Y16"/>
    <mergeCell ref="Y17:Y20"/>
    <mergeCell ref="Y21:Y24"/>
    <mergeCell ref="Y26:Y28"/>
    <mergeCell ref="Y34:Y36"/>
    <mergeCell ref="Y37:Y38"/>
    <mergeCell ref="Y42:Y44"/>
    <mergeCell ref="Y45:Y50"/>
    <mergeCell ref="Y51:Y56"/>
    <mergeCell ref="Z2:Z3"/>
    <mergeCell ref="Z7:Z8"/>
    <mergeCell ref="Z9:Z16"/>
    <mergeCell ref="Z17:Z20"/>
    <mergeCell ref="Z21:Z24"/>
    <mergeCell ref="Z26:Z28"/>
    <mergeCell ref="Z34:Z36"/>
    <mergeCell ref="Z37:Z38"/>
    <mergeCell ref="Z42:Z44"/>
    <mergeCell ref="Z45:Z50"/>
    <mergeCell ref="Z51:Z56"/>
    <mergeCell ref="AA2:AA3"/>
    <mergeCell ref="AA7:AA8"/>
    <mergeCell ref="AA9:AA16"/>
    <mergeCell ref="AA17:AA20"/>
    <mergeCell ref="AA21:AA24"/>
    <mergeCell ref="AA26:AA28"/>
    <mergeCell ref="AA34:AA36"/>
    <mergeCell ref="AA37:AA38"/>
    <mergeCell ref="AA42:AA44"/>
    <mergeCell ref="AA45:AA50"/>
    <mergeCell ref="AA51:AA56"/>
    <mergeCell ref="H2:I3"/>
    <mergeCell ref="K2:L3"/>
    <mergeCell ref="M2:N3"/>
    <mergeCell ref="M21:N24"/>
    <mergeCell ref="M26:N28"/>
    <mergeCell ref="M34:N36"/>
    <mergeCell ref="M37:N38"/>
    <mergeCell ref="M42:N4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A10" sqref="A10:A11"/>
    </sheetView>
  </sheetViews>
  <sheetFormatPr defaultColWidth="14.375" defaultRowHeight="35.25" customHeight="1" outlineLevelCol="7"/>
  <cols>
    <col min="1" max="4" width="14.375" customWidth="1"/>
    <col min="5" max="5" width="11.5" customWidth="1"/>
    <col min="6" max="16384" width="14.375" customWidth="1"/>
  </cols>
  <sheetData>
    <row r="1" customHeight="1" spans="1:8">
      <c r="A1" s="9" t="s">
        <v>522</v>
      </c>
      <c r="B1" s="9"/>
      <c r="C1" s="9"/>
      <c r="D1" s="9"/>
      <c r="E1" s="9"/>
      <c r="F1" s="9"/>
      <c r="G1" s="9"/>
      <c r="H1" s="9"/>
    </row>
    <row r="2" customHeight="1" spans="1:8">
      <c r="A2" s="10" t="s">
        <v>1</v>
      </c>
      <c r="B2" s="10" t="s">
        <v>359</v>
      </c>
      <c r="C2" s="10" t="s">
        <v>523</v>
      </c>
      <c r="D2" s="10" t="s">
        <v>360</v>
      </c>
      <c r="E2" s="10" t="s">
        <v>361</v>
      </c>
      <c r="F2" s="11" t="s">
        <v>362</v>
      </c>
      <c r="G2" s="12" t="s">
        <v>363</v>
      </c>
      <c r="H2" s="13" t="s">
        <v>23</v>
      </c>
    </row>
    <row r="3" customHeight="1" spans="1:8">
      <c r="A3" s="14">
        <v>1</v>
      </c>
      <c r="B3" s="15" t="s">
        <v>524</v>
      </c>
      <c r="C3" s="16" t="s">
        <v>525</v>
      </c>
      <c r="D3" s="16">
        <v>218.36</v>
      </c>
      <c r="E3" s="16">
        <v>138</v>
      </c>
      <c r="F3" s="17" t="s">
        <v>91</v>
      </c>
      <c r="G3" s="18" t="s">
        <v>365</v>
      </c>
      <c r="H3" s="19" t="s">
        <v>526</v>
      </c>
    </row>
    <row r="4" customHeight="1" spans="1:8">
      <c r="A4" s="14">
        <v>2</v>
      </c>
      <c r="B4" s="20"/>
      <c r="C4" s="16">
        <v>5</v>
      </c>
      <c r="D4" s="6">
        <v>1778.05</v>
      </c>
      <c r="E4" s="16">
        <v>141</v>
      </c>
      <c r="F4" s="17" t="s">
        <v>91</v>
      </c>
      <c r="G4" s="18" t="s">
        <v>365</v>
      </c>
      <c r="H4" s="19"/>
    </row>
    <row r="5" customHeight="1" spans="1:8">
      <c r="A5" s="14">
        <v>3</v>
      </c>
      <c r="B5" s="20"/>
      <c r="C5" s="16">
        <v>6</v>
      </c>
      <c r="D5" s="6">
        <v>1840.69</v>
      </c>
      <c r="E5" s="16">
        <v>142</v>
      </c>
      <c r="F5" s="17" t="s">
        <v>91</v>
      </c>
      <c r="G5" s="18" t="s">
        <v>365</v>
      </c>
      <c r="H5" s="19"/>
    </row>
    <row r="6" customHeight="1" spans="1:8">
      <c r="A6" s="14">
        <v>4</v>
      </c>
      <c r="B6" s="15" t="s">
        <v>527</v>
      </c>
      <c r="C6" s="16" t="s">
        <v>528</v>
      </c>
      <c r="D6" s="16">
        <v>511.51</v>
      </c>
      <c r="E6" s="16">
        <v>138</v>
      </c>
      <c r="F6" s="17" t="s">
        <v>91</v>
      </c>
      <c r="G6" s="18" t="s">
        <v>365</v>
      </c>
      <c r="H6" s="21"/>
    </row>
    <row r="7" customHeight="1" spans="1:8">
      <c r="A7" s="14">
        <v>5</v>
      </c>
      <c r="B7" s="22"/>
      <c r="C7" s="16" t="s">
        <v>529</v>
      </c>
      <c r="D7" s="16">
        <v>156.29</v>
      </c>
      <c r="E7" s="16">
        <v>143</v>
      </c>
      <c r="F7" s="17" t="s">
        <v>91</v>
      </c>
      <c r="G7" s="18" t="s">
        <v>365</v>
      </c>
      <c r="H7" s="19" t="s">
        <v>526</v>
      </c>
    </row>
    <row r="8" customHeight="1" spans="1:8">
      <c r="A8" s="23" t="s">
        <v>378</v>
      </c>
      <c r="B8" s="24"/>
      <c r="C8" s="25"/>
      <c r="D8" s="16">
        <f>SUM(D3:D7)</f>
        <v>4504.9</v>
      </c>
      <c r="E8" s="26" t="s">
        <v>379</v>
      </c>
      <c r="F8" s="27"/>
      <c r="G8" s="28">
        <f>D8/85814.69*100%</f>
        <v>0.0524956741089433</v>
      </c>
      <c r="H8" s="27"/>
    </row>
    <row r="9" customHeight="1" spans="1:8">
      <c r="A9" s="29"/>
      <c r="B9" s="29"/>
      <c r="C9" s="29"/>
      <c r="D9" s="29"/>
      <c r="E9" s="29"/>
      <c r="F9" s="29"/>
      <c r="G9" s="29"/>
      <c r="H9" s="29"/>
    </row>
    <row r="10" customHeight="1" spans="1:8">
      <c r="A10" s="30" t="s">
        <v>530</v>
      </c>
      <c r="B10" s="31" t="s">
        <v>531</v>
      </c>
      <c r="C10" s="32">
        <v>7</v>
      </c>
      <c r="D10" s="6">
        <v>1840.69</v>
      </c>
      <c r="E10" s="33"/>
      <c r="F10" s="34"/>
      <c r="G10" s="33"/>
      <c r="H10" s="35"/>
    </row>
    <row r="11" customHeight="1" spans="1:8">
      <c r="A11" s="30"/>
      <c r="B11" s="36"/>
      <c r="C11" s="32">
        <v>8</v>
      </c>
      <c r="D11" s="6">
        <v>1826.35</v>
      </c>
      <c r="E11" s="33"/>
      <c r="F11" s="34"/>
      <c r="G11" s="33"/>
      <c r="H11" s="35"/>
    </row>
  </sheetData>
  <sheetProtection formatCells="0" formatColumns="0" formatRows="0" insertRows="0" insertColumns="0" insertHyperlinks="0" deleteColumns="0" deleteRows="0" sort="0" autoFilter="0" pivotTables="0"/>
  <mergeCells count="9">
    <mergeCell ref="A1:H1"/>
    <mergeCell ref="A8:C8"/>
    <mergeCell ref="E8:F8"/>
    <mergeCell ref="G8:H8"/>
    <mergeCell ref="A9:H9"/>
    <mergeCell ref="A10:A11"/>
    <mergeCell ref="B3:B5"/>
    <mergeCell ref="B6:B7"/>
    <mergeCell ref="B10:B11"/>
  </mergeCells>
  <dataValidations count="2">
    <dataValidation type="list" allowBlank="1" showErrorMessage="1" errorTitle="错误提示" error="请输入下拉列表中的值" sqref="F3:F7">
      <formula1>"空置,使用中,待审批入驻"</formula1>
    </dataValidation>
    <dataValidation type="list" allowBlank="1" showErrorMessage="1" errorTitle="错误提示" error="请输入下拉列表中的值" sqref="G3:G7">
      <formula1>"待过会,待招商,待明确"</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selection activeCell="A1" sqref="A1:E1"/>
    </sheetView>
  </sheetViews>
  <sheetFormatPr defaultColWidth="20" defaultRowHeight="13.5"/>
  <cols>
    <col min="1" max="16384" width="20" customWidth="1"/>
  </cols>
  <sheetData>
    <row r="1" ht="39" customHeight="1" spans="1:9">
      <c r="A1" s="1" t="s">
        <v>532</v>
      </c>
      <c r="B1" s="1"/>
      <c r="C1" s="1"/>
      <c r="D1" s="1"/>
      <c r="E1" s="1"/>
      <c r="F1" s="2"/>
      <c r="G1" s="2"/>
      <c r="H1" s="2"/>
      <c r="I1" s="2"/>
    </row>
    <row r="2" ht="39" customHeight="1" spans="1:9">
      <c r="A2" s="3" t="s">
        <v>396</v>
      </c>
      <c r="B2" s="4">
        <v>133247.65</v>
      </c>
      <c r="C2" s="4"/>
      <c r="D2" s="4"/>
      <c r="E2" s="4"/>
      <c r="F2" s="2"/>
      <c r="G2" s="2"/>
      <c r="H2" s="2"/>
      <c r="I2" s="2"/>
    </row>
    <row r="3" ht="39" customHeight="1" spans="1:9">
      <c r="A3" s="3" t="s">
        <v>397</v>
      </c>
      <c r="B3" s="3" t="s">
        <v>533</v>
      </c>
      <c r="C3" s="3"/>
      <c r="D3" s="3"/>
      <c r="E3" s="3"/>
      <c r="F3" s="5"/>
      <c r="G3" s="5"/>
      <c r="H3" s="5"/>
      <c r="I3" s="5"/>
    </row>
    <row r="4" ht="39" customHeight="1" spans="1:9">
      <c r="A4" s="3"/>
      <c r="B4" s="3"/>
      <c r="C4" s="3"/>
      <c r="D4" s="3"/>
      <c r="E4" s="3"/>
      <c r="F4" s="5"/>
      <c r="G4" s="5"/>
      <c r="H4" s="5"/>
      <c r="I4" s="5"/>
    </row>
    <row r="5" ht="39" customHeight="1" spans="1:9">
      <c r="A5" s="3" t="s">
        <v>399</v>
      </c>
      <c r="B5" s="6" t="s">
        <v>534</v>
      </c>
      <c r="C5" s="6"/>
      <c r="D5" s="6"/>
      <c r="E5" s="6"/>
      <c r="F5" s="5"/>
      <c r="G5" s="5"/>
      <c r="H5" s="5"/>
      <c r="I5" s="5"/>
    </row>
    <row r="6" ht="39" customHeight="1" spans="1:9">
      <c r="A6" s="3"/>
      <c r="B6" s="6"/>
      <c r="C6" s="6"/>
      <c r="D6" s="6"/>
      <c r="E6" s="6"/>
      <c r="F6" s="5"/>
      <c r="G6" s="5"/>
      <c r="H6" s="5"/>
      <c r="I6" s="5"/>
    </row>
    <row r="7" ht="39" customHeight="1" spans="1:9">
      <c r="A7" s="3" t="s">
        <v>400</v>
      </c>
      <c r="B7" s="6">
        <v>85814.69</v>
      </c>
      <c r="C7" s="6" t="s">
        <v>418</v>
      </c>
      <c r="D7" s="6"/>
      <c r="E7" s="6">
        <v>39193.29</v>
      </c>
      <c r="F7" s="5"/>
      <c r="G7" s="5"/>
      <c r="H7" s="5"/>
      <c r="I7" s="5"/>
    </row>
    <row r="8" ht="39" customHeight="1" spans="1:9">
      <c r="A8" s="3"/>
      <c r="B8" s="6"/>
      <c r="C8" s="6" t="s">
        <v>470</v>
      </c>
      <c r="D8" s="6"/>
      <c r="E8" s="6">
        <v>46621.4</v>
      </c>
      <c r="F8" s="5"/>
      <c r="G8" s="5"/>
      <c r="H8" s="5"/>
      <c r="I8" s="5"/>
    </row>
    <row r="9" ht="39" customHeight="1" spans="1:9">
      <c r="A9" s="3" t="s">
        <v>405</v>
      </c>
      <c r="B9" s="3">
        <v>16020.5</v>
      </c>
      <c r="C9" s="3" t="s">
        <v>418</v>
      </c>
      <c r="D9" s="3"/>
      <c r="E9" s="3">
        <v>10862.1</v>
      </c>
      <c r="F9" s="5"/>
      <c r="G9" s="5"/>
      <c r="H9" s="5"/>
      <c r="I9" s="5"/>
    </row>
    <row r="10" ht="39" customHeight="1" spans="1:9">
      <c r="A10" s="3"/>
      <c r="B10" s="3"/>
      <c r="C10" s="3" t="s">
        <v>470</v>
      </c>
      <c r="D10" s="3"/>
      <c r="E10" s="3">
        <v>5158.4</v>
      </c>
      <c r="F10" s="5"/>
      <c r="G10" s="5"/>
      <c r="H10" s="5"/>
      <c r="I10" s="5"/>
    </row>
    <row r="11" ht="39" customHeight="1" spans="1:9">
      <c r="A11" s="6" t="s">
        <v>356</v>
      </c>
      <c r="B11" s="6">
        <v>101835.19</v>
      </c>
      <c r="C11" s="6"/>
      <c r="D11" s="6"/>
      <c r="E11" s="7"/>
      <c r="F11" s="5"/>
      <c r="G11" s="5"/>
      <c r="H11" s="5"/>
      <c r="I11" s="5"/>
    </row>
    <row r="12" ht="39" customHeight="1" spans="1:9">
      <c r="A12" s="8"/>
      <c r="B12" s="8"/>
      <c r="C12" s="8"/>
      <c r="D12" s="8"/>
      <c r="E12" s="8"/>
      <c r="F12" s="5"/>
      <c r="G12" s="5"/>
      <c r="H12" s="5"/>
      <c r="I12" s="5"/>
    </row>
  </sheetData>
  <sheetProtection formatCells="0" formatColumns="0" formatRows="0" insertRows="0" insertColumns="0" insertHyperlinks="0" deleteColumns="0" deleteRows="0" sort="0" autoFilter="0" pivotTables="0"/>
  <mergeCells count="16">
    <mergeCell ref="A1:E1"/>
    <mergeCell ref="B2:E2"/>
    <mergeCell ref="C7:D7"/>
    <mergeCell ref="C8:D8"/>
    <mergeCell ref="C9:D9"/>
    <mergeCell ref="C10:D10"/>
    <mergeCell ref="C11:D11"/>
    <mergeCell ref="A12:E12"/>
    <mergeCell ref="A3:A4"/>
    <mergeCell ref="A5:A6"/>
    <mergeCell ref="A7:A8"/>
    <mergeCell ref="A9:A10"/>
    <mergeCell ref="B7:B8"/>
    <mergeCell ref="B9:B10"/>
    <mergeCell ref="B3:E4"/>
    <mergeCell ref="B5:E6"/>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436181645116"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3"/>
  <pixelatorList sheetStid="4"/>
  <pixelatorList sheetStid="5"/>
  <pixelatorList sheetStid="6"/>
  <pixelatorList sheetStid="7"/>
  <pixelatorList sheetStid="8"/>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WWO_wpscloud_20260120180756-4af9624cc4</Application>
  <HeadingPairs>
    <vt:vector size="2" baseType="variant">
      <vt:variant>
        <vt:lpstr>工作表</vt:lpstr>
      </vt:variant>
      <vt:variant>
        <vt:i4>6</vt:i4>
      </vt:variant>
    </vt:vector>
  </HeadingPairs>
  <TitlesOfParts>
    <vt:vector size="6" baseType="lpstr">
      <vt:lpstr>新一代产业园产业租赁台账</vt:lpstr>
      <vt:lpstr>新一代产业园产业空置明细表</vt:lpstr>
      <vt:lpstr>新一代产业园建筑面积明细</vt:lpstr>
      <vt:lpstr>泰然立城产业租赁台账</vt:lpstr>
      <vt:lpstr>泰然立城产业空置明细表 </vt:lpstr>
      <vt:lpstr>泰然立城项目面积明细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2018-07-15T16:28:00Z</dcterms:created>
  <dcterms:modified xsi:type="dcterms:W3CDTF">2019-07-03T15:34:00Z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2052-12.9.0.25172</vt:lpwstr>
  </property>
  <property fmtid="{D5CDD505-2E9C-101B-9397-08002B2CF9AE}" pid="3" name="CalculationRule">
    <vt:i4>0</vt:i4>
  </property>
  <property fmtid="{D5CDD505-2E9C-101B-9397-08002B2CF9AE}" pid="4" name="ICV">
    <vt:lpwstr>41152F1F8BADF471A9F7A469A2771967_42</vt:lpwstr>
  </property>
</Properties>
</file>